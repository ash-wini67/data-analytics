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istrator\Downloads\"/>
    </mc:Choice>
  </mc:AlternateContent>
  <bookViews>
    <workbookView xWindow="0" yWindow="0" windowWidth="20490" windowHeight="7755"/>
  </bookViews>
  <sheets>
    <sheet name="Sheet5" sheetId="6" r:id="rId1"/>
    <sheet name="Sheet2" sheetId="2" r:id="rId2"/>
    <sheet name="Sheet4" sheetId="5" r:id="rId3"/>
  </sheets>
  <definedNames>
    <definedName name="Slicer_Actual_amount">#N/A</definedName>
    <definedName name="Slicer_Category">#N/A</definedName>
    <definedName name="Slicer_Discripti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2" l="1"/>
  <c r="H23" i="2"/>
  <c r="H19" i="2"/>
  <c r="H15" i="2"/>
  <c r="H11" i="2"/>
  <c r="H6" i="2"/>
</calcChain>
</file>

<file path=xl/sharedStrings.xml><?xml version="1.0" encoding="utf-8"?>
<sst xmlns="http://schemas.openxmlformats.org/spreadsheetml/2006/main" count="203" uniqueCount="47">
  <si>
    <t>Date</t>
  </si>
  <si>
    <t>Month</t>
  </si>
  <si>
    <t>Category</t>
  </si>
  <si>
    <t>Discription</t>
  </si>
  <si>
    <t>Actual amount</t>
  </si>
  <si>
    <t>January</t>
  </si>
  <si>
    <t>Rent</t>
  </si>
  <si>
    <t>House Rent</t>
  </si>
  <si>
    <t>Food</t>
  </si>
  <si>
    <t>Groceries</t>
  </si>
  <si>
    <t>Transport</t>
  </si>
  <si>
    <t>Bus&amp;Fuel</t>
  </si>
  <si>
    <t>Total Expences</t>
  </si>
  <si>
    <t>Entertainment</t>
  </si>
  <si>
    <t>Movies</t>
  </si>
  <si>
    <t>Utilities</t>
  </si>
  <si>
    <t>Electricity bill</t>
  </si>
  <si>
    <t>February</t>
  </si>
  <si>
    <t>Total Expences by Category(Food)</t>
  </si>
  <si>
    <t>Water&amp;Power</t>
  </si>
  <si>
    <t>March</t>
  </si>
  <si>
    <t>Average</t>
  </si>
  <si>
    <t>Bus pass</t>
  </si>
  <si>
    <t>Outgoing</t>
  </si>
  <si>
    <t>April</t>
  </si>
  <si>
    <t>Total expences by month</t>
  </si>
  <si>
    <t>Fuel</t>
  </si>
  <si>
    <t>Total expenses by month and category</t>
  </si>
  <si>
    <t>May</t>
  </si>
  <si>
    <t>Shopping</t>
  </si>
  <si>
    <t>June</t>
  </si>
  <si>
    <t>avg expanses by month</t>
  </si>
  <si>
    <t>Trip</t>
  </si>
  <si>
    <t>July</t>
  </si>
  <si>
    <t>August</t>
  </si>
  <si>
    <t>September</t>
  </si>
  <si>
    <t>October</t>
  </si>
  <si>
    <t>Festival Shopping</t>
  </si>
  <si>
    <t>November</t>
  </si>
  <si>
    <t>December</t>
  </si>
  <si>
    <t>Travel</t>
  </si>
  <si>
    <t>Year-End Party</t>
  </si>
  <si>
    <t>Row Labels</t>
  </si>
  <si>
    <t>Grand Total</t>
  </si>
  <si>
    <t>Count of Category</t>
  </si>
  <si>
    <t>Count of Discription</t>
  </si>
  <si>
    <t>Sum of Actual amount2</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</si>
</sst>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Aptos Narrow"/>
      <family val="2"/>
      <scheme val="minor"/>
    </font>
    <font>
      <b/>
      <sz val="11"/>
      <color theme="1"/>
      <name val="Aptos Narrow"/>
      <family val="2"/>
      <scheme val="minor"/>
    </font>
    <font>
      <b/>
      <sz val="12"/>
      <color theme="1"/>
      <name val="Aptos Narrow"/>
      <family val="2"/>
      <scheme val="minor"/>
    </font>
    <font>
      <sz val="11"/>
      <color theme="4" tint="-0.249977111117893"/>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bottom>
      <diagonal/>
    </border>
  </borders>
  <cellStyleXfs count="1">
    <xf numFmtId="0" fontId="0" fillId="0" borderId="0"/>
  </cellStyleXfs>
  <cellXfs count="15">
    <xf numFmtId="0" fontId="0" fillId="0" borderId="0" xfId="0"/>
    <xf numFmtId="0" fontId="2" fillId="2" borderId="0" xfId="0" applyFont="1" applyFill="1"/>
    <xf numFmtId="0" fontId="1" fillId="2" borderId="0" xfId="0" applyFont="1" applyFill="1"/>
    <xf numFmtId="0" fontId="1" fillId="2" borderId="0" xfId="0" applyFont="1" applyFill="1" applyAlignment="1">
      <alignment vertical="center"/>
    </xf>
    <xf numFmtId="0" fontId="0" fillId="3" borderId="0" xfId="0" applyFill="1"/>
    <xf numFmtId="0" fontId="0" fillId="2" borderId="0" xfId="0" applyFill="1"/>
    <xf numFmtId="0" fontId="3" fillId="4" borderId="0" xfId="0" applyFont="1" applyFill="1"/>
    <xf numFmtId="0" fontId="3" fillId="0" borderId="0" xfId="0" applyFont="1"/>
    <xf numFmtId="0" fontId="3" fillId="0" borderId="1" xfId="0" applyFont="1" applyBorder="1"/>
    <xf numFmtId="14" fontId="3" fillId="4" borderId="0" xfId="0" applyNumberFormat="1" applyFont="1" applyFill="1"/>
    <xf numFmtId="14" fontId="3" fillId="0" borderId="0" xfId="0" applyNumberFormat="1" applyFont="1"/>
    <xf numFmtId="14" fontId="3" fillId="0" borderId="1" xfId="0" applyNumberFormat="1" applyFont="1" applyBorder="1"/>
    <xf numFmtId="0" fontId="0" fillId="0" borderId="0" xfId="0" pivotButton="1"/>
    <xf numFmtId="14" fontId="0" fillId="0" borderId="0" xfId="0" applyNumberFormat="1"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[ashwini1.4aw.xlsx]Sheet5!PivotTable5</c:name>
    <c:fmtId val="6"/>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Sheet5!$B$4:$B$64</c:f>
              <c:numCache>
                <c:formatCode>General</c:formatCode>
                <c:ptCount val="6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ser>
        <c:dLbls>
          <c:showLegendKey val="0"/>
          <c:showVal val="0"/>
          <c:showCatName val="0"/>
          <c:showSerName val="0"/>
          <c:showPercent val="0"/>
          <c:showBubbleSize val="0"/>
        </c:dLbls>
        <c:gapWidth val="219"/>
        <c:overlap val="-27"/>
        <c:axId val="367046400"/>
        <c:axId val="367047184"/>
      </c:barChart>
      <c:catAx>
        <c:axId val="36704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047184"/>
        <c:crosses val="autoZero"/>
        <c:auto val="1"/>
        <c:lblAlgn val="ctr"/>
        <c:lblOffset val="100"/>
        <c:noMultiLvlLbl val="0"/>
      </c:catAx>
      <c:valAx>
        <c:axId val="367047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0464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[ashwini1.4aw.xlsx]Sheet5!PivotTable6</c:name>
    <c:fmtId val="3"/>
  </c:pivotSource>
  <c:chart>
    <c:autoTitleDeleted val="1"/>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s>
    <c:plotArea>
      <c:layout/>
      <c:doughnutChart>
        <c:varyColors val="1"/>
        <c:ser>
          <c:idx val="0"/>
          <c:order val="0"/>
          <c:tx>
            <c:strRef>
              <c:f>Sheet5!$E$7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Sheet5!$D$8:$D$68</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Sheet5!$E$8:$E$68</c:f>
              <c:numCache>
                <c:formatCode>General</c:formatCode>
                <c:ptCount val="6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[ashwini1.4aw.xlsx]Sheet5!PivotTable7</c:name>
    <c:fmtId val="35"/>
  </c:pivotSource>
  <c:chart>
    <c:autoTitleDeleted val="1"/>
    <c:pivotFmts>
      <c:pivotFmt>
        <c:idx val="0"/>
        <c:spPr>
          <a:solidFill>
            <a:schemeClr val="accent1"/>
          </a:solidFill>
          <a:ln>
            <a:noFill/>
          </a:ln>
          <a:effectLst/>
        </c:spPr>
        <c:marker>
          <c:symbol val="none"/>
        </c:marker>
      </c:pivotFmt>
    </c:pivotFmts>
    <c:plotArea>
      <c:layout/>
      <c:barChart>
        <c:barDir val="col"/>
        <c:grouping val="percentStacked"/>
        <c:varyColors val="0"/>
        <c:ser>
          <c:idx val="0"/>
          <c:order val="0"/>
          <c:tx>
            <c:strRef>
              <c:f>Sheet5!$I$3</c:f>
              <c:strCache>
                <c:ptCount val="1"/>
                <c:pt idx="0">
                  <c:v>Total</c:v>
                </c:pt>
              </c:strCache>
            </c:strRef>
          </c:tx>
          <c:spPr>
            <a:solidFill>
              <a:schemeClr val="accent1"/>
            </a:solidFill>
            <a:ln>
              <a:noFill/>
            </a:ln>
            <a:effectLst/>
          </c:spPr>
          <c:invertIfNegative val="0"/>
          <c:cat>
            <c:strRef>
              <c:f>Sheet5!$H$4:$H$64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Sheet5!$I$4:$I$64</c:f>
              <c:numCache>
                <c:formatCode>General</c:formatCode>
                <c:ptCount val="60"/>
                <c:pt idx="0">
                  <c:v>12000</c:v>
                </c:pt>
                <c:pt idx="1">
                  <c:v>4200</c:v>
                </c:pt>
                <c:pt idx="2">
                  <c:v>2800</c:v>
                </c:pt>
                <c:pt idx="3">
                  <c:v>2300</c:v>
                </c:pt>
                <c:pt idx="4">
                  <c:v>2600</c:v>
                </c:pt>
                <c:pt idx="5">
                  <c:v>12000</c:v>
                </c:pt>
                <c:pt idx="6">
                  <c:v>5100</c:v>
                </c:pt>
                <c:pt idx="7">
                  <c:v>3200</c:v>
                </c:pt>
                <c:pt idx="8">
                  <c:v>1900</c:v>
                </c:pt>
                <c:pt idx="9">
                  <c:v>2400</c:v>
                </c:pt>
                <c:pt idx="10">
                  <c:v>12000</c:v>
                </c:pt>
                <c:pt idx="11">
                  <c:v>3900</c:v>
                </c:pt>
                <c:pt idx="12">
                  <c:v>2600</c:v>
                </c:pt>
                <c:pt idx="13">
                  <c:v>1500</c:v>
                </c:pt>
                <c:pt idx="14">
                  <c:v>2300</c:v>
                </c:pt>
                <c:pt idx="15">
                  <c:v>12000</c:v>
                </c:pt>
                <c:pt idx="16">
                  <c:v>4500</c:v>
                </c:pt>
                <c:pt idx="17">
                  <c:v>3000</c:v>
                </c:pt>
                <c:pt idx="18">
                  <c:v>2200</c:v>
                </c:pt>
                <c:pt idx="19">
                  <c:v>2500</c:v>
                </c:pt>
                <c:pt idx="20">
                  <c:v>12000</c:v>
                </c:pt>
                <c:pt idx="21">
                  <c:v>4800</c:v>
                </c:pt>
                <c:pt idx="22">
                  <c:v>2900</c:v>
                </c:pt>
                <c:pt idx="23">
                  <c:v>2100</c:v>
                </c:pt>
                <c:pt idx="24">
                  <c:v>2600</c:v>
                </c:pt>
                <c:pt idx="25">
                  <c:v>12000</c:v>
                </c:pt>
                <c:pt idx="26">
                  <c:v>5200</c:v>
                </c:pt>
                <c:pt idx="27">
                  <c:v>3300</c:v>
                </c:pt>
                <c:pt idx="28">
                  <c:v>2800</c:v>
                </c:pt>
                <c:pt idx="29">
                  <c:v>2700</c:v>
                </c:pt>
                <c:pt idx="30">
                  <c:v>12000</c:v>
                </c:pt>
                <c:pt idx="31">
                  <c:v>4100</c:v>
                </c:pt>
                <c:pt idx="32">
                  <c:v>2600</c:v>
                </c:pt>
                <c:pt idx="33">
                  <c:v>1800</c:v>
                </c:pt>
                <c:pt idx="34">
                  <c:v>2400</c:v>
                </c:pt>
                <c:pt idx="35">
                  <c:v>12000</c:v>
                </c:pt>
                <c:pt idx="36">
                  <c:v>4700</c:v>
                </c:pt>
                <c:pt idx="37">
                  <c:v>3100</c:v>
                </c:pt>
                <c:pt idx="38">
                  <c:v>2200</c:v>
                </c:pt>
                <c:pt idx="39">
                  <c:v>2500</c:v>
                </c:pt>
                <c:pt idx="40">
                  <c:v>12000</c:v>
                </c:pt>
                <c:pt idx="41">
                  <c:v>4300</c:v>
                </c:pt>
                <c:pt idx="42">
                  <c:v>2700</c:v>
                </c:pt>
                <c:pt idx="43">
                  <c:v>2000</c:v>
                </c:pt>
                <c:pt idx="44">
                  <c:v>2400</c:v>
                </c:pt>
                <c:pt idx="45">
                  <c:v>12000</c:v>
                </c:pt>
                <c:pt idx="46">
                  <c:v>5000</c:v>
                </c:pt>
                <c:pt idx="47">
                  <c:v>3200</c:v>
                </c:pt>
                <c:pt idx="48">
                  <c:v>3500</c:v>
                </c:pt>
                <c:pt idx="49">
                  <c:v>2800</c:v>
                </c:pt>
                <c:pt idx="50">
                  <c:v>12000</c:v>
                </c:pt>
                <c:pt idx="51">
                  <c:v>4600</c:v>
                </c:pt>
                <c:pt idx="52">
                  <c:v>3000</c:v>
                </c:pt>
                <c:pt idx="53">
                  <c:v>2100</c:v>
                </c:pt>
                <c:pt idx="54">
                  <c:v>2600</c:v>
                </c:pt>
                <c:pt idx="55">
                  <c:v>12000</c:v>
                </c:pt>
                <c:pt idx="56">
                  <c:v>5400</c:v>
                </c:pt>
                <c:pt idx="57">
                  <c:v>3600</c:v>
                </c:pt>
                <c:pt idx="58">
                  <c:v>4000</c:v>
                </c:pt>
                <c:pt idx="59">
                  <c:v>3000</c:v>
                </c:pt>
              </c:numCache>
            </c:numRef>
          </c:val>
        </c:ser>
        <c:dLbls>
          <c:showLegendKey val="0"/>
          <c:showVal val="0"/>
          <c:showCatName val="0"/>
          <c:showSerName val="0"/>
          <c:showPercent val="0"/>
          <c:showBubbleSize val="0"/>
        </c:dLbls>
        <c:gapWidth val="150"/>
        <c:overlap val="100"/>
        <c:axId val="367047576"/>
        <c:axId val="367050320"/>
      </c:barChart>
      <c:catAx>
        <c:axId val="367047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050320"/>
        <c:crosses val="autoZero"/>
        <c:auto val="1"/>
        <c:lblAlgn val="ctr"/>
        <c:lblOffset val="100"/>
        <c:noMultiLvlLbl val="0"/>
      </c:catAx>
      <c:valAx>
        <c:axId val="3670503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047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[ashwini1.4aw.xlsx]Sheet5!PivotTable5</c:name>
    <c:fmtId val="1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Sheet5!$B$4:$B$64</c:f>
              <c:numCache>
                <c:formatCode>General</c:formatCode>
                <c:ptCount val="6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ser>
        <c:dLbls>
          <c:showLegendKey val="0"/>
          <c:showVal val="0"/>
          <c:showCatName val="0"/>
          <c:showSerName val="0"/>
          <c:showPercent val="0"/>
          <c:showBubbleSize val="0"/>
        </c:dLbls>
        <c:gapWidth val="219"/>
        <c:overlap val="-27"/>
        <c:axId val="367045224"/>
        <c:axId val="367043656"/>
      </c:barChart>
      <c:catAx>
        <c:axId val="367045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043656"/>
        <c:crosses val="autoZero"/>
        <c:auto val="1"/>
        <c:lblAlgn val="ctr"/>
        <c:lblOffset val="100"/>
        <c:noMultiLvlLbl val="0"/>
      </c:catAx>
      <c:valAx>
        <c:axId val="367043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045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[ashwini1.4aw.xlsx]Sheet5!PivotTable6</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s>
    <c:plotArea>
      <c:layout/>
      <c:doughnutChart>
        <c:varyColors val="1"/>
        <c:ser>
          <c:idx val="0"/>
          <c:order val="0"/>
          <c:tx>
            <c:strRef>
              <c:f>Sheet5!$E$7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Sheet5!$D$8:$D$68</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Sheet5!$E$8:$E$68</c:f>
              <c:numCache>
                <c:formatCode>General</c:formatCode>
                <c:ptCount val="6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[ashwini1.4aw.xlsx]Sheet5!PivotTable7</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percentStacked"/>
        <c:varyColors val="0"/>
        <c:ser>
          <c:idx val="0"/>
          <c:order val="0"/>
          <c:tx>
            <c:strRef>
              <c:f>Sheet5!$I$3</c:f>
              <c:strCache>
                <c:ptCount val="1"/>
                <c:pt idx="0">
                  <c:v>Total</c:v>
                </c:pt>
              </c:strCache>
            </c:strRef>
          </c:tx>
          <c:spPr>
            <a:solidFill>
              <a:schemeClr val="accent1"/>
            </a:solidFill>
            <a:ln>
              <a:noFill/>
            </a:ln>
            <a:effectLst/>
          </c:spPr>
          <c:invertIfNegative val="0"/>
          <c:cat>
            <c:strRef>
              <c:f>Sheet5!$H$4:$H$64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Sheet5!$I$4:$I$64</c:f>
              <c:numCache>
                <c:formatCode>General</c:formatCode>
                <c:ptCount val="60"/>
                <c:pt idx="0">
                  <c:v>12000</c:v>
                </c:pt>
                <c:pt idx="1">
                  <c:v>4200</c:v>
                </c:pt>
                <c:pt idx="2">
                  <c:v>2800</c:v>
                </c:pt>
                <c:pt idx="3">
                  <c:v>2300</c:v>
                </c:pt>
                <c:pt idx="4">
                  <c:v>2600</c:v>
                </c:pt>
                <c:pt idx="5">
                  <c:v>12000</c:v>
                </c:pt>
                <c:pt idx="6">
                  <c:v>5100</c:v>
                </c:pt>
                <c:pt idx="7">
                  <c:v>3200</c:v>
                </c:pt>
                <c:pt idx="8">
                  <c:v>1900</c:v>
                </c:pt>
                <c:pt idx="9">
                  <c:v>2400</c:v>
                </c:pt>
                <c:pt idx="10">
                  <c:v>12000</c:v>
                </c:pt>
                <c:pt idx="11">
                  <c:v>3900</c:v>
                </c:pt>
                <c:pt idx="12">
                  <c:v>2600</c:v>
                </c:pt>
                <c:pt idx="13">
                  <c:v>1500</c:v>
                </c:pt>
                <c:pt idx="14">
                  <c:v>2300</c:v>
                </c:pt>
                <c:pt idx="15">
                  <c:v>12000</c:v>
                </c:pt>
                <c:pt idx="16">
                  <c:v>4500</c:v>
                </c:pt>
                <c:pt idx="17">
                  <c:v>3000</c:v>
                </c:pt>
                <c:pt idx="18">
                  <c:v>2200</c:v>
                </c:pt>
                <c:pt idx="19">
                  <c:v>2500</c:v>
                </c:pt>
                <c:pt idx="20">
                  <c:v>12000</c:v>
                </c:pt>
                <c:pt idx="21">
                  <c:v>4800</c:v>
                </c:pt>
                <c:pt idx="22">
                  <c:v>2900</c:v>
                </c:pt>
                <c:pt idx="23">
                  <c:v>2100</c:v>
                </c:pt>
                <c:pt idx="24">
                  <c:v>2600</c:v>
                </c:pt>
                <c:pt idx="25">
                  <c:v>12000</c:v>
                </c:pt>
                <c:pt idx="26">
                  <c:v>5200</c:v>
                </c:pt>
                <c:pt idx="27">
                  <c:v>3300</c:v>
                </c:pt>
                <c:pt idx="28">
                  <c:v>2800</c:v>
                </c:pt>
                <c:pt idx="29">
                  <c:v>2700</c:v>
                </c:pt>
                <c:pt idx="30">
                  <c:v>12000</c:v>
                </c:pt>
                <c:pt idx="31">
                  <c:v>4100</c:v>
                </c:pt>
                <c:pt idx="32">
                  <c:v>2600</c:v>
                </c:pt>
                <c:pt idx="33">
                  <c:v>1800</c:v>
                </c:pt>
                <c:pt idx="34">
                  <c:v>2400</c:v>
                </c:pt>
                <c:pt idx="35">
                  <c:v>12000</c:v>
                </c:pt>
                <c:pt idx="36">
                  <c:v>4700</c:v>
                </c:pt>
                <c:pt idx="37">
                  <c:v>3100</c:v>
                </c:pt>
                <c:pt idx="38">
                  <c:v>2200</c:v>
                </c:pt>
                <c:pt idx="39">
                  <c:v>2500</c:v>
                </c:pt>
                <c:pt idx="40">
                  <c:v>12000</c:v>
                </c:pt>
                <c:pt idx="41">
                  <c:v>4300</c:v>
                </c:pt>
                <c:pt idx="42">
                  <c:v>2700</c:v>
                </c:pt>
                <c:pt idx="43">
                  <c:v>2000</c:v>
                </c:pt>
                <c:pt idx="44">
                  <c:v>2400</c:v>
                </c:pt>
                <c:pt idx="45">
                  <c:v>12000</c:v>
                </c:pt>
                <c:pt idx="46">
                  <c:v>5000</c:v>
                </c:pt>
                <c:pt idx="47">
                  <c:v>3200</c:v>
                </c:pt>
                <c:pt idx="48">
                  <c:v>3500</c:v>
                </c:pt>
                <c:pt idx="49">
                  <c:v>2800</c:v>
                </c:pt>
                <c:pt idx="50">
                  <c:v>12000</c:v>
                </c:pt>
                <c:pt idx="51">
                  <c:v>4600</c:v>
                </c:pt>
                <c:pt idx="52">
                  <c:v>3000</c:v>
                </c:pt>
                <c:pt idx="53">
                  <c:v>2100</c:v>
                </c:pt>
                <c:pt idx="54">
                  <c:v>2600</c:v>
                </c:pt>
                <c:pt idx="55">
                  <c:v>12000</c:v>
                </c:pt>
                <c:pt idx="56">
                  <c:v>5400</c:v>
                </c:pt>
                <c:pt idx="57">
                  <c:v>3600</c:v>
                </c:pt>
                <c:pt idx="58">
                  <c:v>4000</c:v>
                </c:pt>
                <c:pt idx="59">
                  <c:v>3000</c:v>
                </c:pt>
              </c:numCache>
            </c:numRef>
          </c:val>
        </c:ser>
        <c:dLbls>
          <c:showLegendKey val="0"/>
          <c:showVal val="0"/>
          <c:showCatName val="0"/>
          <c:showSerName val="0"/>
          <c:showPercent val="0"/>
          <c:showBubbleSize val="0"/>
        </c:dLbls>
        <c:gapWidth val="150"/>
        <c:overlap val="100"/>
        <c:axId val="367044832"/>
        <c:axId val="367045616"/>
      </c:barChart>
      <c:catAx>
        <c:axId val="36704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045616"/>
        <c:crosses val="autoZero"/>
        <c:auto val="1"/>
        <c:lblAlgn val="ctr"/>
        <c:lblOffset val="100"/>
        <c:noMultiLvlLbl val="0"/>
      </c:catAx>
      <c:valAx>
        <c:axId val="3670456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044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771525</xdr:colOff>
      <xdr:row>42</xdr:row>
      <xdr:rowOff>171450</xdr:rowOff>
    </xdr:from>
    <xdr:to>
      <xdr:col>5</xdr:col>
      <xdr:colOff>161925</xdr:colOff>
      <xdr:row>56</xdr:row>
      <xdr:rowOff>161925</xdr:rowOff>
    </xdr:to>
    <mc:AlternateContent xmlns:mc="http://schemas.openxmlformats.org/markup-compatibility/2006" xmlns:a14="http://schemas.microsoft.com/office/drawing/2010/main">
      <mc:Choice Requires="a14">
        <xdr:graphicFrame macro="">
          <xdr:nvGraphicFramePr>
            <xdr:cNvPr id="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771900" y="7772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485775</xdr:colOff>
      <xdr:row>47</xdr:row>
      <xdr:rowOff>0</xdr:rowOff>
    </xdr:from>
    <xdr:to>
      <xdr:col>7</xdr:col>
      <xdr:colOff>314325</xdr:colOff>
      <xdr:row>60</xdr:row>
      <xdr:rowOff>171450</xdr:rowOff>
    </xdr:to>
    <mc:AlternateContent xmlns:mc="http://schemas.openxmlformats.org/markup-compatibility/2006" xmlns:a14="http://schemas.microsoft.com/office/drawing/2010/main">
      <mc:Choice Requires="a14">
        <xdr:graphicFrame macro="">
          <xdr:nvGraphicFramePr>
            <xdr:cNvPr id="3" name="Discription"/>
            <xdr:cNvGraphicFramePr/>
          </xdr:nvGraphicFramePr>
          <xdr:xfrm>
            <a:off x="0" y="0"/>
            <a:ext cx="0" cy="0"/>
          </xdr:xfrm>
          <a:graphic>
            <a:graphicData uri="http://schemas.microsoft.com/office/drawing/2010/slicer">
              <sle:slicer xmlns:sle="http://schemas.microsoft.com/office/drawing/2010/slicer" name="Discription"/>
            </a:graphicData>
          </a:graphic>
        </xdr:graphicFrame>
      </mc:Choice>
      <mc:Fallback xmlns="">
        <xdr:sp macro="" textlink="">
          <xdr:nvSpPr>
            <xdr:cNvPr id="0" name=""/>
            <xdr:cNvSpPr>
              <a:spLocks noTextEdit="1"/>
            </xdr:cNvSpPr>
          </xdr:nvSpPr>
          <xdr:spPr>
            <a:xfrm>
              <a:off x="5924550" y="8505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1476375</xdr:colOff>
      <xdr:row>47</xdr:row>
      <xdr:rowOff>57150</xdr:rowOff>
    </xdr:from>
    <xdr:to>
      <xdr:col>10</xdr:col>
      <xdr:colOff>152400</xdr:colOff>
      <xdr:row>61</xdr:row>
      <xdr:rowOff>47625</xdr:rowOff>
    </xdr:to>
    <mc:AlternateContent xmlns:mc="http://schemas.openxmlformats.org/markup-compatibility/2006" xmlns:a14="http://schemas.microsoft.com/office/drawing/2010/main">
      <mc:Choice Requires="a14">
        <xdr:graphicFrame macro="">
          <xdr:nvGraphicFramePr>
            <xdr:cNvPr id="4" name="Actual amount"/>
            <xdr:cNvGraphicFramePr/>
          </xdr:nvGraphicFramePr>
          <xdr:xfrm>
            <a:off x="0" y="0"/>
            <a:ext cx="0" cy="0"/>
          </xdr:xfrm>
          <a:graphic>
            <a:graphicData uri="http://schemas.microsoft.com/office/drawing/2010/slicer">
              <sle:slicer xmlns:sle="http://schemas.microsoft.com/office/drawing/2010/slicer" name="Actual amount"/>
            </a:graphicData>
          </a:graphic>
        </xdr:graphicFrame>
      </mc:Choice>
      <mc:Fallback xmlns="">
        <xdr:sp macro="" textlink="">
          <xdr:nvSpPr>
            <xdr:cNvPr id="0" name=""/>
            <xdr:cNvSpPr>
              <a:spLocks noTextEdit="1"/>
            </xdr:cNvSpPr>
          </xdr:nvSpPr>
          <xdr:spPr>
            <a:xfrm>
              <a:off x="9915525" y="8562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342900</xdr:colOff>
      <xdr:row>69</xdr:row>
      <xdr:rowOff>100012</xdr:rowOff>
    </xdr:from>
    <xdr:to>
      <xdr:col>4</xdr:col>
      <xdr:colOff>914400</xdr:colOff>
      <xdr:row>84</xdr:row>
      <xdr:rowOff>128587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1228725</xdr:colOff>
      <xdr:row>68</xdr:row>
      <xdr:rowOff>128587</xdr:rowOff>
    </xdr:from>
    <xdr:to>
      <xdr:col>8</xdr:col>
      <xdr:colOff>1362075</xdr:colOff>
      <xdr:row>83</xdr:row>
      <xdr:rowOff>157162</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342900</xdr:colOff>
      <xdr:row>88</xdr:row>
      <xdr:rowOff>142875</xdr:rowOff>
    </xdr:from>
    <xdr:to>
      <xdr:col>6</xdr:col>
      <xdr:colOff>457200</xdr:colOff>
      <xdr:row>105</xdr:row>
      <xdr:rowOff>147637</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114300</xdr:rowOff>
    </xdr:from>
    <xdr:to>
      <xdr:col>10</xdr:col>
      <xdr:colOff>28575</xdr:colOff>
      <xdr:row>6</xdr:row>
      <xdr:rowOff>28575</xdr:rowOff>
    </xdr:to>
    <xdr:sp macro="" textlink="">
      <xdr:nvSpPr>
        <xdr:cNvPr id="2" name="Rounded Rectangle 1"/>
        <xdr:cNvSpPr/>
      </xdr:nvSpPr>
      <xdr:spPr>
        <a:xfrm>
          <a:off x="28575" y="114300"/>
          <a:ext cx="6858000" cy="10001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523875</xdr:colOff>
      <xdr:row>1</xdr:row>
      <xdr:rowOff>114300</xdr:rowOff>
    </xdr:from>
    <xdr:to>
      <xdr:col>8</xdr:col>
      <xdr:colOff>457200</xdr:colOff>
      <xdr:row>3</xdr:row>
      <xdr:rowOff>104775</xdr:rowOff>
    </xdr:to>
    <xdr:sp macro="" textlink="">
      <xdr:nvSpPr>
        <xdr:cNvPr id="3" name="TextBox 2"/>
        <xdr:cNvSpPr txBox="1"/>
      </xdr:nvSpPr>
      <xdr:spPr>
        <a:xfrm>
          <a:off x="1209675" y="295275"/>
          <a:ext cx="4733925"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PERSONAL</a:t>
          </a:r>
          <a:r>
            <a:rPr lang="en-IN" sz="1600" b="1" baseline="0"/>
            <a:t> FINANACE BUDGET DASH BOARD </a:t>
          </a:r>
          <a:endParaRPr lang="en-IN" sz="1600" b="1"/>
        </a:p>
      </xdr:txBody>
    </xdr:sp>
    <xdr:clientData/>
  </xdr:twoCellAnchor>
  <xdr:twoCellAnchor>
    <xdr:from>
      <xdr:col>0</xdr:col>
      <xdr:colOff>104775</xdr:colOff>
      <xdr:row>6</xdr:row>
      <xdr:rowOff>104776</xdr:rowOff>
    </xdr:from>
    <xdr:to>
      <xdr:col>3</xdr:col>
      <xdr:colOff>19050</xdr:colOff>
      <xdr:row>10</xdr:row>
      <xdr:rowOff>123826</xdr:rowOff>
    </xdr:to>
    <xdr:sp macro="" textlink="">
      <xdr:nvSpPr>
        <xdr:cNvPr id="4" name="Rounded Rectangle 3"/>
        <xdr:cNvSpPr/>
      </xdr:nvSpPr>
      <xdr:spPr>
        <a:xfrm>
          <a:off x="104775" y="1190626"/>
          <a:ext cx="1971675" cy="74295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6</xdr:row>
      <xdr:rowOff>123825</xdr:rowOff>
    </xdr:from>
    <xdr:to>
      <xdr:col>1</xdr:col>
      <xdr:colOff>142875</xdr:colOff>
      <xdr:row>10</xdr:row>
      <xdr:rowOff>114300</xdr:rowOff>
    </xdr:to>
    <xdr:sp macro="" textlink="">
      <xdr:nvSpPr>
        <xdr:cNvPr id="5" name="Rounded Rectangle 4"/>
        <xdr:cNvSpPr/>
      </xdr:nvSpPr>
      <xdr:spPr>
        <a:xfrm>
          <a:off x="152400" y="1209675"/>
          <a:ext cx="676275" cy="7143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206374</xdr:colOff>
      <xdr:row>8</xdr:row>
      <xdr:rowOff>149225</xdr:rowOff>
    </xdr:from>
    <xdr:to>
      <xdr:col>2</xdr:col>
      <xdr:colOff>584199</xdr:colOff>
      <xdr:row>10</xdr:row>
      <xdr:rowOff>88900</xdr:rowOff>
    </xdr:to>
    <xdr:sp macro="" textlink="Sheet2!H6">
      <xdr:nvSpPr>
        <xdr:cNvPr id="11" name="TextBox 10"/>
        <xdr:cNvSpPr txBox="1"/>
      </xdr:nvSpPr>
      <xdr:spPr>
        <a:xfrm>
          <a:off x="892174" y="1571625"/>
          <a:ext cx="1063625"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8DC644-5D2A-46FE-95B7-744B7AFF05EC}" type="TxLink">
            <a:rPr lang="en-US" sz="1100" b="0" i="0" u="none" strike="noStrike">
              <a:solidFill>
                <a:srgbClr val="000000"/>
              </a:solidFill>
              <a:latin typeface="Aptos Narrow"/>
            </a:rPr>
            <a:pPr/>
            <a:t>283000</a:t>
          </a:fld>
          <a:endParaRPr lang="en-US" sz="1100"/>
        </a:p>
      </xdr:txBody>
    </xdr:sp>
    <xdr:clientData/>
  </xdr:twoCellAnchor>
  <xdr:twoCellAnchor>
    <xdr:from>
      <xdr:col>3</xdr:col>
      <xdr:colOff>352425</xdr:colOff>
      <xdr:row>6</xdr:row>
      <xdr:rowOff>161924</xdr:rowOff>
    </xdr:from>
    <xdr:to>
      <xdr:col>6</xdr:col>
      <xdr:colOff>200025</xdr:colOff>
      <xdr:row>11</xdr:row>
      <xdr:rowOff>9525</xdr:rowOff>
    </xdr:to>
    <xdr:sp macro="" textlink="">
      <xdr:nvSpPr>
        <xdr:cNvPr id="19" name="Rounded Rectangle 18"/>
        <xdr:cNvSpPr/>
      </xdr:nvSpPr>
      <xdr:spPr>
        <a:xfrm>
          <a:off x="2409825" y="1247774"/>
          <a:ext cx="1905000" cy="75247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342900</xdr:colOff>
      <xdr:row>7</xdr:row>
      <xdr:rowOff>9525</xdr:rowOff>
    </xdr:from>
    <xdr:to>
      <xdr:col>4</xdr:col>
      <xdr:colOff>400050</xdr:colOff>
      <xdr:row>11</xdr:row>
      <xdr:rowOff>9525</xdr:rowOff>
    </xdr:to>
    <xdr:sp macro="" textlink="">
      <xdr:nvSpPr>
        <xdr:cNvPr id="20" name="Rounded Rectangle 19"/>
        <xdr:cNvSpPr/>
      </xdr:nvSpPr>
      <xdr:spPr>
        <a:xfrm>
          <a:off x="2400300" y="1276350"/>
          <a:ext cx="742950" cy="723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479424</xdr:colOff>
      <xdr:row>7</xdr:row>
      <xdr:rowOff>123824</xdr:rowOff>
    </xdr:from>
    <xdr:to>
      <xdr:col>10</xdr:col>
      <xdr:colOff>241300</xdr:colOff>
      <xdr:row>12</xdr:row>
      <xdr:rowOff>101600</xdr:rowOff>
    </xdr:to>
    <xdr:sp macro="" textlink="">
      <xdr:nvSpPr>
        <xdr:cNvPr id="22" name="Rounded Rectangle 21"/>
        <xdr:cNvSpPr/>
      </xdr:nvSpPr>
      <xdr:spPr>
        <a:xfrm>
          <a:off x="4594224" y="1368424"/>
          <a:ext cx="2505076" cy="86677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628650</xdr:colOff>
      <xdr:row>7</xdr:row>
      <xdr:rowOff>85725</xdr:rowOff>
    </xdr:from>
    <xdr:to>
      <xdr:col>5</xdr:col>
      <xdr:colOff>676275</xdr:colOff>
      <xdr:row>8</xdr:row>
      <xdr:rowOff>47625</xdr:rowOff>
    </xdr:to>
    <xdr:sp macro="" textlink="">
      <xdr:nvSpPr>
        <xdr:cNvPr id="23" name="TextBox 22"/>
        <xdr:cNvSpPr txBox="1"/>
      </xdr:nvSpPr>
      <xdr:spPr>
        <a:xfrm>
          <a:off x="3371850" y="1352550"/>
          <a:ext cx="733425" cy="142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AVG</a:t>
          </a:r>
        </a:p>
      </xdr:txBody>
    </xdr:sp>
    <xdr:clientData/>
  </xdr:twoCellAnchor>
  <xdr:twoCellAnchor>
    <xdr:from>
      <xdr:col>4</xdr:col>
      <xdr:colOff>609600</xdr:colOff>
      <xdr:row>9</xdr:row>
      <xdr:rowOff>9525</xdr:rowOff>
    </xdr:from>
    <xdr:to>
      <xdr:col>6</xdr:col>
      <xdr:colOff>0</xdr:colOff>
      <xdr:row>10</xdr:row>
      <xdr:rowOff>9525</xdr:rowOff>
    </xdr:to>
    <xdr:sp macro="" textlink="Sheet2!H15">
      <xdr:nvSpPr>
        <xdr:cNvPr id="24" name="TextBox 23"/>
        <xdr:cNvSpPr txBox="1"/>
      </xdr:nvSpPr>
      <xdr:spPr>
        <a:xfrm>
          <a:off x="3352800" y="1638300"/>
          <a:ext cx="762000"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995DFE-743F-4A43-AEA1-E9210F7AF240}" type="TxLink">
            <a:rPr lang="en-US" sz="1100" b="0" i="0" u="none" strike="noStrike">
              <a:solidFill>
                <a:srgbClr val="000000"/>
              </a:solidFill>
              <a:latin typeface="Aptos Narrow"/>
            </a:rPr>
            <a:pPr/>
            <a:t>4796.610169</a:t>
          </a:fld>
          <a:endParaRPr lang="en-IN" sz="1100"/>
        </a:p>
      </xdr:txBody>
    </xdr:sp>
    <xdr:clientData/>
  </xdr:twoCellAnchor>
  <xdr:twoCellAnchor>
    <xdr:from>
      <xdr:col>6</xdr:col>
      <xdr:colOff>539751</xdr:colOff>
      <xdr:row>8</xdr:row>
      <xdr:rowOff>41275</xdr:rowOff>
    </xdr:from>
    <xdr:to>
      <xdr:col>8</xdr:col>
      <xdr:colOff>6351</xdr:colOff>
      <xdr:row>11</xdr:row>
      <xdr:rowOff>136525</xdr:rowOff>
    </xdr:to>
    <xdr:sp macro="" textlink="">
      <xdr:nvSpPr>
        <xdr:cNvPr id="25" name="Rounded Rectangle 24"/>
        <xdr:cNvSpPr/>
      </xdr:nvSpPr>
      <xdr:spPr>
        <a:xfrm>
          <a:off x="4654551" y="1463675"/>
          <a:ext cx="838200" cy="6286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41274</xdr:colOff>
      <xdr:row>8</xdr:row>
      <xdr:rowOff>0</xdr:rowOff>
    </xdr:from>
    <xdr:to>
      <xdr:col>9</xdr:col>
      <xdr:colOff>635000</xdr:colOff>
      <xdr:row>9</xdr:row>
      <xdr:rowOff>88900</xdr:rowOff>
    </xdr:to>
    <xdr:sp macro="" textlink="">
      <xdr:nvSpPr>
        <xdr:cNvPr id="26" name="TextBox 25"/>
        <xdr:cNvSpPr txBox="1"/>
      </xdr:nvSpPr>
      <xdr:spPr>
        <a:xfrm>
          <a:off x="5527674" y="1422400"/>
          <a:ext cx="1279526"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AVGEXPBYMONTH</a:t>
          </a:r>
        </a:p>
      </xdr:txBody>
    </xdr:sp>
    <xdr:clientData/>
  </xdr:twoCellAnchor>
  <xdr:twoCellAnchor>
    <xdr:from>
      <xdr:col>8</xdr:col>
      <xdr:colOff>136524</xdr:colOff>
      <xdr:row>9</xdr:row>
      <xdr:rowOff>158750</xdr:rowOff>
    </xdr:from>
    <xdr:to>
      <xdr:col>9</xdr:col>
      <xdr:colOff>482599</xdr:colOff>
      <xdr:row>11</xdr:row>
      <xdr:rowOff>50800</xdr:rowOff>
    </xdr:to>
    <xdr:sp macro="" textlink="Sheet2!H19">
      <xdr:nvSpPr>
        <xdr:cNvPr id="27" name="TextBox 26"/>
        <xdr:cNvSpPr txBox="1"/>
      </xdr:nvSpPr>
      <xdr:spPr>
        <a:xfrm>
          <a:off x="5622924" y="1758950"/>
          <a:ext cx="103187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6D6F1A-66DB-451D-9D85-E74393FFC0EA}" type="TxLink">
            <a:rPr lang="en-US" sz="1100" b="0" i="0" u="none" strike="noStrike">
              <a:solidFill>
                <a:srgbClr val="000000"/>
              </a:solidFill>
              <a:latin typeface="Aptos Narrow"/>
            </a:rPr>
            <a:pPr/>
            <a:t>23900</a:t>
          </a:fld>
          <a:endParaRPr lang="en-IN" sz="1100"/>
        </a:p>
      </xdr:txBody>
    </xdr:sp>
    <xdr:clientData/>
  </xdr:twoCellAnchor>
  <xdr:twoCellAnchor editAs="oneCell">
    <xdr:from>
      <xdr:col>0</xdr:col>
      <xdr:colOff>0</xdr:colOff>
      <xdr:row>14</xdr:row>
      <xdr:rowOff>161925</xdr:rowOff>
    </xdr:from>
    <xdr:to>
      <xdr:col>2</xdr:col>
      <xdr:colOff>457200</xdr:colOff>
      <xdr:row>28</xdr:row>
      <xdr:rowOff>152400</xdr:rowOff>
    </xdr:to>
    <mc:AlternateContent xmlns:mc="http://schemas.openxmlformats.org/markup-compatibility/2006" xmlns:a14="http://schemas.microsoft.com/office/drawing/2010/main">
      <mc:Choice Requires="a14">
        <xdr:graphicFrame macro="">
          <xdr:nvGraphicFramePr>
            <xdr:cNvPr id="28"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2651125"/>
              <a:ext cx="1828800" cy="247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38100</xdr:rowOff>
    </xdr:from>
    <xdr:to>
      <xdr:col>2</xdr:col>
      <xdr:colOff>457200</xdr:colOff>
      <xdr:row>43</xdr:row>
      <xdr:rowOff>28575</xdr:rowOff>
    </xdr:to>
    <mc:AlternateContent xmlns:mc="http://schemas.openxmlformats.org/markup-compatibility/2006" xmlns:a14="http://schemas.microsoft.com/office/drawing/2010/main">
      <mc:Choice Requires="a14">
        <xdr:graphicFrame macro="">
          <xdr:nvGraphicFramePr>
            <xdr:cNvPr id="29" name="Discription 1"/>
            <xdr:cNvGraphicFramePr/>
          </xdr:nvGraphicFramePr>
          <xdr:xfrm>
            <a:off x="0" y="0"/>
            <a:ext cx="0" cy="0"/>
          </xdr:xfrm>
          <a:graphic>
            <a:graphicData uri="http://schemas.microsoft.com/office/drawing/2010/slicer">
              <sle:slicer xmlns:sle="http://schemas.microsoft.com/office/drawing/2010/slicer" name="Discription 1"/>
            </a:graphicData>
          </a:graphic>
        </xdr:graphicFrame>
      </mc:Choice>
      <mc:Fallback xmlns="">
        <xdr:sp macro="" textlink="">
          <xdr:nvSpPr>
            <xdr:cNvPr id="0" name=""/>
            <xdr:cNvSpPr>
              <a:spLocks noTextEdit="1"/>
            </xdr:cNvSpPr>
          </xdr:nvSpPr>
          <xdr:spPr>
            <a:xfrm>
              <a:off x="0" y="5194300"/>
              <a:ext cx="1828800" cy="247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47625</xdr:rowOff>
    </xdr:from>
    <xdr:to>
      <xdr:col>2</xdr:col>
      <xdr:colOff>457200</xdr:colOff>
      <xdr:row>57</xdr:row>
      <xdr:rowOff>38100</xdr:rowOff>
    </xdr:to>
    <mc:AlternateContent xmlns:mc="http://schemas.openxmlformats.org/markup-compatibility/2006" xmlns:a14="http://schemas.microsoft.com/office/drawing/2010/main">
      <mc:Choice Requires="a14">
        <xdr:graphicFrame macro="">
          <xdr:nvGraphicFramePr>
            <xdr:cNvPr id="30" name="Actual amount 1"/>
            <xdr:cNvGraphicFramePr/>
          </xdr:nvGraphicFramePr>
          <xdr:xfrm>
            <a:off x="0" y="0"/>
            <a:ext cx="0" cy="0"/>
          </xdr:xfrm>
          <a:graphic>
            <a:graphicData uri="http://schemas.microsoft.com/office/drawing/2010/slicer">
              <sle:slicer xmlns:sle="http://schemas.microsoft.com/office/drawing/2010/slicer" name="Actual amount 1"/>
            </a:graphicData>
          </a:graphic>
        </xdr:graphicFrame>
      </mc:Choice>
      <mc:Fallback xmlns="">
        <xdr:sp macro="" textlink="">
          <xdr:nvSpPr>
            <xdr:cNvPr id="0" name=""/>
            <xdr:cNvSpPr>
              <a:spLocks noTextEdit="1"/>
            </xdr:cNvSpPr>
          </xdr:nvSpPr>
          <xdr:spPr>
            <a:xfrm>
              <a:off x="0" y="7693025"/>
              <a:ext cx="1828800" cy="247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279400</xdr:colOff>
      <xdr:row>7</xdr:row>
      <xdr:rowOff>25400</xdr:rowOff>
    </xdr:from>
    <xdr:to>
      <xdr:col>2</xdr:col>
      <xdr:colOff>596900</xdr:colOff>
      <xdr:row>8</xdr:row>
      <xdr:rowOff>25400</xdr:rowOff>
    </xdr:to>
    <xdr:sp macro="" textlink="">
      <xdr:nvSpPr>
        <xdr:cNvPr id="31" name="TextBox 30"/>
        <xdr:cNvSpPr txBox="1"/>
      </xdr:nvSpPr>
      <xdr:spPr>
        <a:xfrm>
          <a:off x="965200" y="1270000"/>
          <a:ext cx="10033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EXP</a:t>
          </a:r>
        </a:p>
      </xdr:txBody>
    </xdr:sp>
    <xdr:clientData/>
  </xdr:twoCellAnchor>
  <xdr:twoCellAnchor>
    <xdr:from>
      <xdr:col>4</xdr:col>
      <xdr:colOff>0</xdr:colOff>
      <xdr:row>18</xdr:row>
      <xdr:rowOff>0</xdr:rowOff>
    </xdr:from>
    <xdr:to>
      <xdr:col>10</xdr:col>
      <xdr:colOff>457200</xdr:colOff>
      <xdr:row>33</xdr:row>
      <xdr:rowOff>76200</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18</xdr:row>
      <xdr:rowOff>12700</xdr:rowOff>
    </xdr:from>
    <xdr:to>
      <xdr:col>18</xdr:col>
      <xdr:colOff>457200</xdr:colOff>
      <xdr:row>32</xdr:row>
      <xdr:rowOff>127000</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622300</xdr:colOff>
      <xdr:row>38</xdr:row>
      <xdr:rowOff>88900</xdr:rowOff>
    </xdr:from>
    <xdr:to>
      <xdr:col>16</xdr:col>
      <xdr:colOff>374650</xdr:colOff>
      <xdr:row>55</xdr:row>
      <xdr:rowOff>147637</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43.511875925928" createdVersion="5" refreshedVersion="5" minRefreshableVersion="3" recordCount="60">
  <cacheSource type="worksheet">
    <worksheetSource ref="A1:E61" sheet="Sheet2"/>
  </cacheSource>
  <cacheFields count="5">
    <cacheField name="Date" numFmtId="14">
      <sharedItems containsSemiMixedTypes="0" containsNonDate="0" containsDate="1" containsString="0" minDate="2025-01-05T00:00:00" maxDate="2025-12-27T00:00:00" count="60">
        <d v="2025-01-05T00:00:00"/>
        <d v="2025-01-08T00:00:00"/>
        <d v="2025-01-12T00:00:00"/>
        <d v="2025-01-18T00:00:00"/>
        <d v="2025-01-25T00:00:00"/>
        <d v="2025-02-05T00:00:00"/>
        <d v="2025-02-09T00:00:00"/>
        <d v="2025-02-12T00:00:00"/>
        <d v="2025-02-18T00:00:00"/>
        <d v="2025-02-24T00:00:00"/>
        <d v="2025-03-05T00:00:00"/>
        <d v="2025-03-08T00:00:00"/>
        <d v="2025-03-14T00:00:00"/>
        <d v="2025-03-20T00:00:00"/>
        <d v="2025-03-26T00:00:00"/>
        <d v="2025-04-05T00:00:00"/>
        <d v="2025-04-09T00:00:00"/>
        <d v="2025-04-13T00:00:00"/>
        <d v="2025-04-19T00:00:00"/>
        <d v="2025-04-25T00:00:00"/>
        <d v="2025-05-05T00:00:00"/>
        <d v="2025-05-08T00:00:00"/>
        <d v="2025-05-14T00:00:00"/>
        <d v="2025-05-20T00:00:00"/>
        <d v="2025-05-26T00:00:00"/>
        <d v="2025-06-05T00:00:00"/>
        <d v="2025-06-09T00:00:00"/>
        <d v="2025-06-13T00:00:00"/>
        <d v="2025-06-18T00:00:00"/>
        <d v="2025-06-25T00:00:00"/>
        <d v="2025-07-05T00:00:00"/>
        <d v="2025-07-08T00:00:00"/>
        <d v="2025-07-12T00:00:00"/>
        <d v="2025-07-19T00:00:00"/>
        <d v="2025-07-26T00:00:00"/>
        <d v="2025-08-05T00:00:00"/>
        <d v="2025-08-09T00:00:00"/>
        <d v="2025-08-14T00:00:00"/>
        <d v="2025-08-20T00:00:00"/>
        <d v="2025-08-26T00:00:00"/>
        <d v="2025-09-05T00:00:00"/>
        <d v="2025-09-08T00:00:00"/>
        <d v="2025-09-13T00:00:00"/>
        <d v="2025-09-18T00:00:00"/>
        <d v="2025-09-25T00:00:00"/>
        <d v="2025-10-05T00:00:00"/>
        <d v="2025-10-09T00:00:00"/>
        <d v="2025-10-14T00:00:00"/>
        <d v="2025-10-20T00:00:00"/>
        <d v="2025-10-26T00:00:00"/>
        <d v="2025-11-05T00:00:00"/>
        <d v="2025-11-08T00:00:00"/>
        <d v="2025-11-13T00:00:00"/>
        <d v="2025-11-19T00:00:00"/>
        <d v="2025-11-25T00:00:00"/>
        <d v="2025-12-05T00:00:00"/>
        <d v="2025-12-09T00:00:00"/>
        <d v="2025-12-14T00:00:00"/>
        <d v="2025-12-20T00:00:00"/>
        <d v="2025-12-26T00:00:00"/>
      </sharedItems>
    </cacheField>
    <cacheField name="Month" numFmtId="0">
      <sharedItems/>
    </cacheField>
    <cacheField name="Category" numFmtId="0">
      <sharedItems count="5">
        <s v="Rent"/>
        <s v="Food"/>
        <s v="Transport"/>
        <s v="Entertainment"/>
        <s v="Utilities"/>
      </sharedItems>
    </cacheField>
    <cacheField name="Discription" numFmtId="0">
      <sharedItems count="14">
        <s v="House Rent"/>
        <s v="Groceries"/>
        <s v="Bus&amp;Fuel"/>
        <s v="Movies"/>
        <s v="Electricity bill"/>
        <s v="Water&amp;Power"/>
        <s v="Bus pass"/>
        <s v="Outgoing"/>
        <s v="Fuel"/>
        <s v="Shopping"/>
        <s v="Trip"/>
        <s v="Festival Shopping"/>
        <s v="Travel"/>
        <s v="Year-End Party"/>
      </sharedItems>
    </cacheField>
    <cacheField name="Actual amount" numFmtId="0">
      <sharedItems containsSemiMixedTypes="0" containsString="0" containsNumber="1" containsInteger="1" minValue="1500" maxValue="12000" count="33">
        <n v="12000"/>
        <n v="4200"/>
        <n v="2800"/>
        <n v="2300"/>
        <n v="2600"/>
        <n v="5100"/>
        <n v="3200"/>
        <n v="1900"/>
        <n v="2400"/>
        <n v="3900"/>
        <n v="1500"/>
        <n v="4500"/>
        <n v="3000"/>
        <n v="2200"/>
        <n v="2500"/>
        <n v="4800"/>
        <n v="2900"/>
        <n v="2100"/>
        <n v="5200"/>
        <n v="3300"/>
        <n v="2700"/>
        <n v="4100"/>
        <n v="1800"/>
        <n v="4700"/>
        <n v="3100"/>
        <n v="4300"/>
        <n v="2000"/>
        <n v="5000"/>
        <n v="3500"/>
        <n v="4600"/>
        <n v="5400"/>
        <n v="3600"/>
        <n v="400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0">
  <r>
    <x v="0"/>
    <s v="January"/>
    <x v="0"/>
    <x v="0"/>
    <x v="0"/>
  </r>
  <r>
    <x v="1"/>
    <s v="January"/>
    <x v="1"/>
    <x v="1"/>
    <x v="1"/>
  </r>
  <r>
    <x v="2"/>
    <s v="January"/>
    <x v="2"/>
    <x v="2"/>
    <x v="2"/>
  </r>
  <r>
    <x v="3"/>
    <s v="January"/>
    <x v="3"/>
    <x v="3"/>
    <x v="3"/>
  </r>
  <r>
    <x v="4"/>
    <s v="January"/>
    <x v="4"/>
    <x v="4"/>
    <x v="4"/>
  </r>
  <r>
    <x v="5"/>
    <s v="February"/>
    <x v="0"/>
    <x v="0"/>
    <x v="0"/>
  </r>
  <r>
    <x v="6"/>
    <s v="February"/>
    <x v="1"/>
    <x v="1"/>
    <x v="5"/>
  </r>
  <r>
    <x v="7"/>
    <s v="February"/>
    <x v="2"/>
    <x v="2"/>
    <x v="6"/>
  </r>
  <r>
    <x v="8"/>
    <s v="February"/>
    <x v="3"/>
    <x v="3"/>
    <x v="7"/>
  </r>
  <r>
    <x v="9"/>
    <s v="February"/>
    <x v="4"/>
    <x v="5"/>
    <x v="8"/>
  </r>
  <r>
    <x v="10"/>
    <s v="March"/>
    <x v="0"/>
    <x v="0"/>
    <x v="0"/>
  </r>
  <r>
    <x v="11"/>
    <s v="March"/>
    <x v="1"/>
    <x v="1"/>
    <x v="9"/>
  </r>
  <r>
    <x v="12"/>
    <s v="March"/>
    <x v="2"/>
    <x v="6"/>
    <x v="4"/>
  </r>
  <r>
    <x v="13"/>
    <s v="March"/>
    <x v="3"/>
    <x v="7"/>
    <x v="10"/>
  </r>
  <r>
    <x v="14"/>
    <s v="March"/>
    <x v="4"/>
    <x v="4"/>
    <x v="3"/>
  </r>
  <r>
    <x v="15"/>
    <s v="April"/>
    <x v="0"/>
    <x v="0"/>
    <x v="0"/>
  </r>
  <r>
    <x v="16"/>
    <s v="April"/>
    <x v="1"/>
    <x v="1"/>
    <x v="11"/>
  </r>
  <r>
    <x v="17"/>
    <s v="April"/>
    <x v="2"/>
    <x v="8"/>
    <x v="12"/>
  </r>
  <r>
    <x v="18"/>
    <s v="April"/>
    <x v="3"/>
    <x v="3"/>
    <x v="13"/>
  </r>
  <r>
    <x v="19"/>
    <s v="April"/>
    <x v="4"/>
    <x v="4"/>
    <x v="14"/>
  </r>
  <r>
    <x v="20"/>
    <s v="May"/>
    <x v="0"/>
    <x v="0"/>
    <x v="0"/>
  </r>
  <r>
    <x v="21"/>
    <s v="May"/>
    <x v="1"/>
    <x v="1"/>
    <x v="15"/>
  </r>
  <r>
    <x v="22"/>
    <s v="May"/>
    <x v="2"/>
    <x v="8"/>
    <x v="16"/>
  </r>
  <r>
    <x v="23"/>
    <s v="May"/>
    <x v="3"/>
    <x v="9"/>
    <x v="17"/>
  </r>
  <r>
    <x v="24"/>
    <s v="May"/>
    <x v="4"/>
    <x v="4"/>
    <x v="4"/>
  </r>
  <r>
    <x v="25"/>
    <s v="June"/>
    <x v="0"/>
    <x v="0"/>
    <x v="0"/>
  </r>
  <r>
    <x v="26"/>
    <s v="June"/>
    <x v="1"/>
    <x v="1"/>
    <x v="18"/>
  </r>
  <r>
    <x v="27"/>
    <s v="June"/>
    <x v="2"/>
    <x v="8"/>
    <x v="19"/>
  </r>
  <r>
    <x v="28"/>
    <s v="June"/>
    <x v="3"/>
    <x v="10"/>
    <x v="2"/>
  </r>
  <r>
    <x v="29"/>
    <s v="June"/>
    <x v="4"/>
    <x v="4"/>
    <x v="20"/>
  </r>
  <r>
    <x v="30"/>
    <s v="July"/>
    <x v="0"/>
    <x v="0"/>
    <x v="0"/>
  </r>
  <r>
    <x v="31"/>
    <s v="July"/>
    <x v="1"/>
    <x v="1"/>
    <x v="21"/>
  </r>
  <r>
    <x v="32"/>
    <s v="July"/>
    <x v="2"/>
    <x v="6"/>
    <x v="4"/>
  </r>
  <r>
    <x v="33"/>
    <s v="July"/>
    <x v="3"/>
    <x v="3"/>
    <x v="22"/>
  </r>
  <r>
    <x v="34"/>
    <s v="July"/>
    <x v="4"/>
    <x v="4"/>
    <x v="8"/>
  </r>
  <r>
    <x v="35"/>
    <s v="August"/>
    <x v="0"/>
    <x v="0"/>
    <x v="0"/>
  </r>
  <r>
    <x v="36"/>
    <s v="August"/>
    <x v="1"/>
    <x v="1"/>
    <x v="23"/>
  </r>
  <r>
    <x v="37"/>
    <s v="August"/>
    <x v="2"/>
    <x v="8"/>
    <x v="24"/>
  </r>
  <r>
    <x v="38"/>
    <s v="August"/>
    <x v="3"/>
    <x v="9"/>
    <x v="13"/>
  </r>
  <r>
    <x v="39"/>
    <s v="August"/>
    <x v="4"/>
    <x v="4"/>
    <x v="14"/>
  </r>
  <r>
    <x v="40"/>
    <s v="September"/>
    <x v="0"/>
    <x v="0"/>
    <x v="0"/>
  </r>
  <r>
    <x v="41"/>
    <s v="September"/>
    <x v="1"/>
    <x v="1"/>
    <x v="25"/>
  </r>
  <r>
    <x v="42"/>
    <s v="September"/>
    <x v="2"/>
    <x v="6"/>
    <x v="20"/>
  </r>
  <r>
    <x v="43"/>
    <s v="September"/>
    <x v="3"/>
    <x v="7"/>
    <x v="26"/>
  </r>
  <r>
    <x v="44"/>
    <s v="September"/>
    <x v="4"/>
    <x v="4"/>
    <x v="8"/>
  </r>
  <r>
    <x v="45"/>
    <s v="October"/>
    <x v="0"/>
    <x v="0"/>
    <x v="0"/>
  </r>
  <r>
    <x v="46"/>
    <s v="October"/>
    <x v="1"/>
    <x v="1"/>
    <x v="27"/>
  </r>
  <r>
    <x v="47"/>
    <s v="October"/>
    <x v="2"/>
    <x v="8"/>
    <x v="6"/>
  </r>
  <r>
    <x v="48"/>
    <s v="October"/>
    <x v="3"/>
    <x v="11"/>
    <x v="28"/>
  </r>
  <r>
    <x v="49"/>
    <s v="October"/>
    <x v="4"/>
    <x v="4"/>
    <x v="2"/>
  </r>
  <r>
    <x v="50"/>
    <s v="November"/>
    <x v="0"/>
    <x v="0"/>
    <x v="0"/>
  </r>
  <r>
    <x v="51"/>
    <s v="November"/>
    <x v="1"/>
    <x v="1"/>
    <x v="29"/>
  </r>
  <r>
    <x v="52"/>
    <s v="November"/>
    <x v="2"/>
    <x v="8"/>
    <x v="12"/>
  </r>
  <r>
    <x v="53"/>
    <s v="November"/>
    <x v="3"/>
    <x v="3"/>
    <x v="17"/>
  </r>
  <r>
    <x v="54"/>
    <s v="November"/>
    <x v="4"/>
    <x v="4"/>
    <x v="4"/>
  </r>
  <r>
    <x v="55"/>
    <s v="December"/>
    <x v="0"/>
    <x v="0"/>
    <x v="0"/>
  </r>
  <r>
    <x v="56"/>
    <s v="December"/>
    <x v="1"/>
    <x v="1"/>
    <x v="30"/>
  </r>
  <r>
    <x v="57"/>
    <s v="December"/>
    <x v="2"/>
    <x v="12"/>
    <x v="31"/>
  </r>
  <r>
    <x v="58"/>
    <s v="December"/>
    <x v="3"/>
    <x v="13"/>
    <x v="32"/>
  </r>
  <r>
    <x v="59"/>
    <s v="December"/>
    <x v="4"/>
    <x v="4"/>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3">
  <location ref="H3:I64" firstHeaderRow="1" firstDataRow="1" firstDataCol="1"/>
  <pivotFields count="5">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items count="6">
        <item x="3"/>
        <item x="1"/>
        <item x="0"/>
        <item x="2"/>
        <item x="4"/>
        <item t="default"/>
      </items>
    </pivotField>
    <pivotField showAll="0"/>
    <pivotField dataField="1" showAll="0"/>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Sum of Actual amount2" fld="4" baseField="0" baseItem="0"/>
  </dataFields>
  <chartFormats count="4">
    <chartFormat chart="3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D7:E68" firstHeaderRow="1" firstDataRow="1" firstDataCol="1"/>
  <pivotFields count="5">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items count="6">
        <item x="3"/>
        <item x="1"/>
        <item x="0"/>
        <item x="2"/>
        <item x="4"/>
        <item t="default"/>
      </items>
    </pivotField>
    <pivotField dataField="1" showAll="0">
      <items count="15">
        <item x="6"/>
        <item x="2"/>
        <item x="4"/>
        <item x="11"/>
        <item x="8"/>
        <item x="1"/>
        <item x="0"/>
        <item x="3"/>
        <item x="7"/>
        <item x="9"/>
        <item x="12"/>
        <item x="10"/>
        <item x="5"/>
        <item x="13"/>
        <item t="default"/>
      </items>
    </pivotField>
    <pivotField showAll="0"/>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Count of Discription" fld="3" subtotal="count" baseField="0" baseItem="0"/>
  </dataFields>
  <chartFormats count="183">
    <chartFormat chart="3" format="0" series="1">
      <pivotArea type="data" outline="0" fieldPosition="0">
        <references count="1">
          <reference field="4294967294" count="1" selected="0">
            <x v="0"/>
          </reference>
        </references>
      </pivotArea>
    </chartFormat>
    <chartFormat chart="5" format="62" series="1">
      <pivotArea type="data" outline="0" fieldPosition="0">
        <references count="1">
          <reference field="4294967294" count="1" selected="0">
            <x v="0"/>
          </reference>
        </references>
      </pivotArea>
    </chartFormat>
    <chartFormat chart="5" format="63">
      <pivotArea type="data" outline="0" fieldPosition="0">
        <references count="2">
          <reference field="4294967294" count="1" selected="0">
            <x v="0"/>
          </reference>
          <reference field="0" count="1" selected="0">
            <x v="0"/>
          </reference>
        </references>
      </pivotArea>
    </chartFormat>
    <chartFormat chart="5" format="64">
      <pivotArea type="data" outline="0" fieldPosition="0">
        <references count="2">
          <reference field="4294967294" count="1" selected="0">
            <x v="0"/>
          </reference>
          <reference field="0" count="1" selected="0">
            <x v="1"/>
          </reference>
        </references>
      </pivotArea>
    </chartFormat>
    <chartFormat chart="5" format="65">
      <pivotArea type="data" outline="0" fieldPosition="0">
        <references count="2">
          <reference field="4294967294" count="1" selected="0">
            <x v="0"/>
          </reference>
          <reference field="0" count="1" selected="0">
            <x v="2"/>
          </reference>
        </references>
      </pivotArea>
    </chartFormat>
    <chartFormat chart="5" format="66">
      <pivotArea type="data" outline="0" fieldPosition="0">
        <references count="2">
          <reference field="4294967294" count="1" selected="0">
            <x v="0"/>
          </reference>
          <reference field="0" count="1" selected="0">
            <x v="3"/>
          </reference>
        </references>
      </pivotArea>
    </chartFormat>
    <chartFormat chart="5" format="67">
      <pivotArea type="data" outline="0" fieldPosition="0">
        <references count="2">
          <reference field="4294967294" count="1" selected="0">
            <x v="0"/>
          </reference>
          <reference field="0" count="1" selected="0">
            <x v="4"/>
          </reference>
        </references>
      </pivotArea>
    </chartFormat>
    <chartFormat chart="5" format="68">
      <pivotArea type="data" outline="0" fieldPosition="0">
        <references count="2">
          <reference field="4294967294" count="1" selected="0">
            <x v="0"/>
          </reference>
          <reference field="0" count="1" selected="0">
            <x v="5"/>
          </reference>
        </references>
      </pivotArea>
    </chartFormat>
    <chartFormat chart="5" format="69">
      <pivotArea type="data" outline="0" fieldPosition="0">
        <references count="2">
          <reference field="4294967294" count="1" selected="0">
            <x v="0"/>
          </reference>
          <reference field="0" count="1" selected="0">
            <x v="6"/>
          </reference>
        </references>
      </pivotArea>
    </chartFormat>
    <chartFormat chart="5" format="70">
      <pivotArea type="data" outline="0" fieldPosition="0">
        <references count="2">
          <reference field="4294967294" count="1" selected="0">
            <x v="0"/>
          </reference>
          <reference field="0" count="1" selected="0">
            <x v="7"/>
          </reference>
        </references>
      </pivotArea>
    </chartFormat>
    <chartFormat chart="5" format="71">
      <pivotArea type="data" outline="0" fieldPosition="0">
        <references count="2">
          <reference field="4294967294" count="1" selected="0">
            <x v="0"/>
          </reference>
          <reference field="0" count="1" selected="0">
            <x v="8"/>
          </reference>
        </references>
      </pivotArea>
    </chartFormat>
    <chartFormat chart="5" format="72">
      <pivotArea type="data" outline="0" fieldPosition="0">
        <references count="2">
          <reference field="4294967294" count="1" selected="0">
            <x v="0"/>
          </reference>
          <reference field="0" count="1" selected="0">
            <x v="9"/>
          </reference>
        </references>
      </pivotArea>
    </chartFormat>
    <chartFormat chart="5" format="73">
      <pivotArea type="data" outline="0" fieldPosition="0">
        <references count="2">
          <reference field="4294967294" count="1" selected="0">
            <x v="0"/>
          </reference>
          <reference field="0" count="1" selected="0">
            <x v="10"/>
          </reference>
        </references>
      </pivotArea>
    </chartFormat>
    <chartFormat chart="5" format="74">
      <pivotArea type="data" outline="0" fieldPosition="0">
        <references count="2">
          <reference field="4294967294" count="1" selected="0">
            <x v="0"/>
          </reference>
          <reference field="0" count="1" selected="0">
            <x v="11"/>
          </reference>
        </references>
      </pivotArea>
    </chartFormat>
    <chartFormat chart="5" format="75">
      <pivotArea type="data" outline="0" fieldPosition="0">
        <references count="2">
          <reference field="4294967294" count="1" selected="0">
            <x v="0"/>
          </reference>
          <reference field="0" count="1" selected="0">
            <x v="12"/>
          </reference>
        </references>
      </pivotArea>
    </chartFormat>
    <chartFormat chart="5" format="76">
      <pivotArea type="data" outline="0" fieldPosition="0">
        <references count="2">
          <reference field="4294967294" count="1" selected="0">
            <x v="0"/>
          </reference>
          <reference field="0" count="1" selected="0">
            <x v="13"/>
          </reference>
        </references>
      </pivotArea>
    </chartFormat>
    <chartFormat chart="5" format="77">
      <pivotArea type="data" outline="0" fieldPosition="0">
        <references count="2">
          <reference field="4294967294" count="1" selected="0">
            <x v="0"/>
          </reference>
          <reference field="0" count="1" selected="0">
            <x v="14"/>
          </reference>
        </references>
      </pivotArea>
    </chartFormat>
    <chartFormat chart="5" format="78">
      <pivotArea type="data" outline="0" fieldPosition="0">
        <references count="2">
          <reference field="4294967294" count="1" selected="0">
            <x v="0"/>
          </reference>
          <reference field="0" count="1" selected="0">
            <x v="15"/>
          </reference>
        </references>
      </pivotArea>
    </chartFormat>
    <chartFormat chart="5" format="79">
      <pivotArea type="data" outline="0" fieldPosition="0">
        <references count="2">
          <reference field="4294967294" count="1" selected="0">
            <x v="0"/>
          </reference>
          <reference field="0" count="1" selected="0">
            <x v="16"/>
          </reference>
        </references>
      </pivotArea>
    </chartFormat>
    <chartFormat chart="5" format="80">
      <pivotArea type="data" outline="0" fieldPosition="0">
        <references count="2">
          <reference field="4294967294" count="1" selected="0">
            <x v="0"/>
          </reference>
          <reference field="0" count="1" selected="0">
            <x v="17"/>
          </reference>
        </references>
      </pivotArea>
    </chartFormat>
    <chartFormat chart="5" format="81">
      <pivotArea type="data" outline="0" fieldPosition="0">
        <references count="2">
          <reference field="4294967294" count="1" selected="0">
            <x v="0"/>
          </reference>
          <reference field="0" count="1" selected="0">
            <x v="18"/>
          </reference>
        </references>
      </pivotArea>
    </chartFormat>
    <chartFormat chart="5" format="82">
      <pivotArea type="data" outline="0" fieldPosition="0">
        <references count="2">
          <reference field="4294967294" count="1" selected="0">
            <x v="0"/>
          </reference>
          <reference field="0" count="1" selected="0">
            <x v="19"/>
          </reference>
        </references>
      </pivotArea>
    </chartFormat>
    <chartFormat chart="5" format="83">
      <pivotArea type="data" outline="0" fieldPosition="0">
        <references count="2">
          <reference field="4294967294" count="1" selected="0">
            <x v="0"/>
          </reference>
          <reference field="0" count="1" selected="0">
            <x v="20"/>
          </reference>
        </references>
      </pivotArea>
    </chartFormat>
    <chartFormat chart="5" format="84">
      <pivotArea type="data" outline="0" fieldPosition="0">
        <references count="2">
          <reference field="4294967294" count="1" selected="0">
            <x v="0"/>
          </reference>
          <reference field="0" count="1" selected="0">
            <x v="21"/>
          </reference>
        </references>
      </pivotArea>
    </chartFormat>
    <chartFormat chart="5" format="85">
      <pivotArea type="data" outline="0" fieldPosition="0">
        <references count="2">
          <reference field="4294967294" count="1" selected="0">
            <x v="0"/>
          </reference>
          <reference field="0" count="1" selected="0">
            <x v="22"/>
          </reference>
        </references>
      </pivotArea>
    </chartFormat>
    <chartFormat chart="5" format="86">
      <pivotArea type="data" outline="0" fieldPosition="0">
        <references count="2">
          <reference field="4294967294" count="1" selected="0">
            <x v="0"/>
          </reference>
          <reference field="0" count="1" selected="0">
            <x v="23"/>
          </reference>
        </references>
      </pivotArea>
    </chartFormat>
    <chartFormat chart="5" format="87">
      <pivotArea type="data" outline="0" fieldPosition="0">
        <references count="2">
          <reference field="4294967294" count="1" selected="0">
            <x v="0"/>
          </reference>
          <reference field="0" count="1" selected="0">
            <x v="24"/>
          </reference>
        </references>
      </pivotArea>
    </chartFormat>
    <chartFormat chart="5" format="88">
      <pivotArea type="data" outline="0" fieldPosition="0">
        <references count="2">
          <reference field="4294967294" count="1" selected="0">
            <x v="0"/>
          </reference>
          <reference field="0" count="1" selected="0">
            <x v="25"/>
          </reference>
        </references>
      </pivotArea>
    </chartFormat>
    <chartFormat chart="5" format="89">
      <pivotArea type="data" outline="0" fieldPosition="0">
        <references count="2">
          <reference field="4294967294" count="1" selected="0">
            <x v="0"/>
          </reference>
          <reference field="0" count="1" selected="0">
            <x v="26"/>
          </reference>
        </references>
      </pivotArea>
    </chartFormat>
    <chartFormat chart="5" format="90">
      <pivotArea type="data" outline="0" fieldPosition="0">
        <references count="2">
          <reference field="4294967294" count="1" selected="0">
            <x v="0"/>
          </reference>
          <reference field="0" count="1" selected="0">
            <x v="27"/>
          </reference>
        </references>
      </pivotArea>
    </chartFormat>
    <chartFormat chart="5" format="91">
      <pivotArea type="data" outline="0" fieldPosition="0">
        <references count="2">
          <reference field="4294967294" count="1" selected="0">
            <x v="0"/>
          </reference>
          <reference field="0" count="1" selected="0">
            <x v="28"/>
          </reference>
        </references>
      </pivotArea>
    </chartFormat>
    <chartFormat chart="5" format="92">
      <pivotArea type="data" outline="0" fieldPosition="0">
        <references count="2">
          <reference field="4294967294" count="1" selected="0">
            <x v="0"/>
          </reference>
          <reference field="0" count="1" selected="0">
            <x v="29"/>
          </reference>
        </references>
      </pivotArea>
    </chartFormat>
    <chartFormat chart="5" format="93">
      <pivotArea type="data" outline="0" fieldPosition="0">
        <references count="2">
          <reference field="4294967294" count="1" selected="0">
            <x v="0"/>
          </reference>
          <reference field="0" count="1" selected="0">
            <x v="30"/>
          </reference>
        </references>
      </pivotArea>
    </chartFormat>
    <chartFormat chart="5" format="94">
      <pivotArea type="data" outline="0" fieldPosition="0">
        <references count="2">
          <reference field="4294967294" count="1" selected="0">
            <x v="0"/>
          </reference>
          <reference field="0" count="1" selected="0">
            <x v="31"/>
          </reference>
        </references>
      </pivotArea>
    </chartFormat>
    <chartFormat chart="5" format="95">
      <pivotArea type="data" outline="0" fieldPosition="0">
        <references count="2">
          <reference field="4294967294" count="1" selected="0">
            <x v="0"/>
          </reference>
          <reference field="0" count="1" selected="0">
            <x v="32"/>
          </reference>
        </references>
      </pivotArea>
    </chartFormat>
    <chartFormat chart="5" format="96">
      <pivotArea type="data" outline="0" fieldPosition="0">
        <references count="2">
          <reference field="4294967294" count="1" selected="0">
            <x v="0"/>
          </reference>
          <reference field="0" count="1" selected="0">
            <x v="33"/>
          </reference>
        </references>
      </pivotArea>
    </chartFormat>
    <chartFormat chart="5" format="97">
      <pivotArea type="data" outline="0" fieldPosition="0">
        <references count="2">
          <reference field="4294967294" count="1" selected="0">
            <x v="0"/>
          </reference>
          <reference field="0" count="1" selected="0">
            <x v="34"/>
          </reference>
        </references>
      </pivotArea>
    </chartFormat>
    <chartFormat chart="5" format="98">
      <pivotArea type="data" outline="0" fieldPosition="0">
        <references count="2">
          <reference field="4294967294" count="1" selected="0">
            <x v="0"/>
          </reference>
          <reference field="0" count="1" selected="0">
            <x v="35"/>
          </reference>
        </references>
      </pivotArea>
    </chartFormat>
    <chartFormat chart="5" format="99">
      <pivotArea type="data" outline="0" fieldPosition="0">
        <references count="2">
          <reference field="4294967294" count="1" selected="0">
            <x v="0"/>
          </reference>
          <reference field="0" count="1" selected="0">
            <x v="36"/>
          </reference>
        </references>
      </pivotArea>
    </chartFormat>
    <chartFormat chart="5" format="100">
      <pivotArea type="data" outline="0" fieldPosition="0">
        <references count="2">
          <reference field="4294967294" count="1" selected="0">
            <x v="0"/>
          </reference>
          <reference field="0" count="1" selected="0">
            <x v="37"/>
          </reference>
        </references>
      </pivotArea>
    </chartFormat>
    <chartFormat chart="5" format="101">
      <pivotArea type="data" outline="0" fieldPosition="0">
        <references count="2">
          <reference field="4294967294" count="1" selected="0">
            <x v="0"/>
          </reference>
          <reference field="0" count="1" selected="0">
            <x v="38"/>
          </reference>
        </references>
      </pivotArea>
    </chartFormat>
    <chartFormat chart="5" format="102">
      <pivotArea type="data" outline="0" fieldPosition="0">
        <references count="2">
          <reference field="4294967294" count="1" selected="0">
            <x v="0"/>
          </reference>
          <reference field="0" count="1" selected="0">
            <x v="39"/>
          </reference>
        </references>
      </pivotArea>
    </chartFormat>
    <chartFormat chart="5" format="103">
      <pivotArea type="data" outline="0" fieldPosition="0">
        <references count="2">
          <reference field="4294967294" count="1" selected="0">
            <x v="0"/>
          </reference>
          <reference field="0" count="1" selected="0">
            <x v="40"/>
          </reference>
        </references>
      </pivotArea>
    </chartFormat>
    <chartFormat chart="5" format="104">
      <pivotArea type="data" outline="0" fieldPosition="0">
        <references count="2">
          <reference field="4294967294" count="1" selected="0">
            <x v="0"/>
          </reference>
          <reference field="0" count="1" selected="0">
            <x v="41"/>
          </reference>
        </references>
      </pivotArea>
    </chartFormat>
    <chartFormat chart="5" format="105">
      <pivotArea type="data" outline="0" fieldPosition="0">
        <references count="2">
          <reference field="4294967294" count="1" selected="0">
            <x v="0"/>
          </reference>
          <reference field="0" count="1" selected="0">
            <x v="42"/>
          </reference>
        </references>
      </pivotArea>
    </chartFormat>
    <chartFormat chart="5" format="106">
      <pivotArea type="data" outline="0" fieldPosition="0">
        <references count="2">
          <reference field="4294967294" count="1" selected="0">
            <x v="0"/>
          </reference>
          <reference field="0" count="1" selected="0">
            <x v="43"/>
          </reference>
        </references>
      </pivotArea>
    </chartFormat>
    <chartFormat chart="5" format="107">
      <pivotArea type="data" outline="0" fieldPosition="0">
        <references count="2">
          <reference field="4294967294" count="1" selected="0">
            <x v="0"/>
          </reference>
          <reference field="0" count="1" selected="0">
            <x v="44"/>
          </reference>
        </references>
      </pivotArea>
    </chartFormat>
    <chartFormat chart="5" format="108">
      <pivotArea type="data" outline="0" fieldPosition="0">
        <references count="2">
          <reference field="4294967294" count="1" selected="0">
            <x v="0"/>
          </reference>
          <reference field="0" count="1" selected="0">
            <x v="45"/>
          </reference>
        </references>
      </pivotArea>
    </chartFormat>
    <chartFormat chart="5" format="109">
      <pivotArea type="data" outline="0" fieldPosition="0">
        <references count="2">
          <reference field="4294967294" count="1" selected="0">
            <x v="0"/>
          </reference>
          <reference field="0" count="1" selected="0">
            <x v="46"/>
          </reference>
        </references>
      </pivotArea>
    </chartFormat>
    <chartFormat chart="5" format="110">
      <pivotArea type="data" outline="0" fieldPosition="0">
        <references count="2">
          <reference field="4294967294" count="1" selected="0">
            <x v="0"/>
          </reference>
          <reference field="0" count="1" selected="0">
            <x v="47"/>
          </reference>
        </references>
      </pivotArea>
    </chartFormat>
    <chartFormat chart="5" format="111">
      <pivotArea type="data" outline="0" fieldPosition="0">
        <references count="2">
          <reference field="4294967294" count="1" selected="0">
            <x v="0"/>
          </reference>
          <reference field="0" count="1" selected="0">
            <x v="48"/>
          </reference>
        </references>
      </pivotArea>
    </chartFormat>
    <chartFormat chart="5" format="112">
      <pivotArea type="data" outline="0" fieldPosition="0">
        <references count="2">
          <reference field="4294967294" count="1" selected="0">
            <x v="0"/>
          </reference>
          <reference field="0" count="1" selected="0">
            <x v="49"/>
          </reference>
        </references>
      </pivotArea>
    </chartFormat>
    <chartFormat chart="5" format="113">
      <pivotArea type="data" outline="0" fieldPosition="0">
        <references count="2">
          <reference field="4294967294" count="1" selected="0">
            <x v="0"/>
          </reference>
          <reference field="0" count="1" selected="0">
            <x v="50"/>
          </reference>
        </references>
      </pivotArea>
    </chartFormat>
    <chartFormat chart="5" format="114">
      <pivotArea type="data" outline="0" fieldPosition="0">
        <references count="2">
          <reference field="4294967294" count="1" selected="0">
            <x v="0"/>
          </reference>
          <reference field="0" count="1" selected="0">
            <x v="51"/>
          </reference>
        </references>
      </pivotArea>
    </chartFormat>
    <chartFormat chart="5" format="115">
      <pivotArea type="data" outline="0" fieldPosition="0">
        <references count="2">
          <reference field="4294967294" count="1" selected="0">
            <x v="0"/>
          </reference>
          <reference field="0" count="1" selected="0">
            <x v="52"/>
          </reference>
        </references>
      </pivotArea>
    </chartFormat>
    <chartFormat chart="5" format="116">
      <pivotArea type="data" outline="0" fieldPosition="0">
        <references count="2">
          <reference field="4294967294" count="1" selected="0">
            <x v="0"/>
          </reference>
          <reference field="0" count="1" selected="0">
            <x v="53"/>
          </reference>
        </references>
      </pivotArea>
    </chartFormat>
    <chartFormat chart="5" format="117">
      <pivotArea type="data" outline="0" fieldPosition="0">
        <references count="2">
          <reference field="4294967294" count="1" selected="0">
            <x v="0"/>
          </reference>
          <reference field="0" count="1" selected="0">
            <x v="54"/>
          </reference>
        </references>
      </pivotArea>
    </chartFormat>
    <chartFormat chart="5" format="118">
      <pivotArea type="data" outline="0" fieldPosition="0">
        <references count="2">
          <reference field="4294967294" count="1" selected="0">
            <x v="0"/>
          </reference>
          <reference field="0" count="1" selected="0">
            <x v="55"/>
          </reference>
        </references>
      </pivotArea>
    </chartFormat>
    <chartFormat chart="5" format="119">
      <pivotArea type="data" outline="0" fieldPosition="0">
        <references count="2">
          <reference field="4294967294" count="1" selected="0">
            <x v="0"/>
          </reference>
          <reference field="0" count="1" selected="0">
            <x v="56"/>
          </reference>
        </references>
      </pivotArea>
    </chartFormat>
    <chartFormat chart="5" format="120">
      <pivotArea type="data" outline="0" fieldPosition="0">
        <references count="2">
          <reference field="4294967294" count="1" selected="0">
            <x v="0"/>
          </reference>
          <reference field="0" count="1" selected="0">
            <x v="57"/>
          </reference>
        </references>
      </pivotArea>
    </chartFormat>
    <chartFormat chart="5" format="121">
      <pivotArea type="data" outline="0" fieldPosition="0">
        <references count="2">
          <reference field="4294967294" count="1" selected="0">
            <x v="0"/>
          </reference>
          <reference field="0" count="1" selected="0">
            <x v="58"/>
          </reference>
        </references>
      </pivotArea>
    </chartFormat>
    <chartFormat chart="5" format="122">
      <pivotArea type="data" outline="0" fieldPosition="0">
        <references count="2">
          <reference field="4294967294" count="1" selected="0">
            <x v="0"/>
          </reference>
          <reference field="0" count="1" selected="0">
            <x v="59"/>
          </reference>
        </references>
      </pivotArea>
    </chartFormat>
    <chartFormat chart="7" format="62" series="1">
      <pivotArea type="data" outline="0" fieldPosition="0">
        <references count="1">
          <reference field="4294967294" count="1" selected="0">
            <x v="0"/>
          </reference>
        </references>
      </pivotArea>
    </chartFormat>
    <chartFormat chart="7" format="63">
      <pivotArea type="data" outline="0" fieldPosition="0">
        <references count="2">
          <reference field="4294967294" count="1" selected="0">
            <x v="0"/>
          </reference>
          <reference field="0" count="1" selected="0">
            <x v="0"/>
          </reference>
        </references>
      </pivotArea>
    </chartFormat>
    <chartFormat chart="7" format="64">
      <pivotArea type="data" outline="0" fieldPosition="0">
        <references count="2">
          <reference field="4294967294" count="1" selected="0">
            <x v="0"/>
          </reference>
          <reference field="0" count="1" selected="0">
            <x v="1"/>
          </reference>
        </references>
      </pivotArea>
    </chartFormat>
    <chartFormat chart="7" format="65">
      <pivotArea type="data" outline="0" fieldPosition="0">
        <references count="2">
          <reference field="4294967294" count="1" selected="0">
            <x v="0"/>
          </reference>
          <reference field="0" count="1" selected="0">
            <x v="2"/>
          </reference>
        </references>
      </pivotArea>
    </chartFormat>
    <chartFormat chart="7" format="66">
      <pivotArea type="data" outline="0" fieldPosition="0">
        <references count="2">
          <reference field="4294967294" count="1" selected="0">
            <x v="0"/>
          </reference>
          <reference field="0" count="1" selected="0">
            <x v="3"/>
          </reference>
        </references>
      </pivotArea>
    </chartFormat>
    <chartFormat chart="7" format="67">
      <pivotArea type="data" outline="0" fieldPosition="0">
        <references count="2">
          <reference field="4294967294" count="1" selected="0">
            <x v="0"/>
          </reference>
          <reference field="0" count="1" selected="0">
            <x v="4"/>
          </reference>
        </references>
      </pivotArea>
    </chartFormat>
    <chartFormat chart="7" format="68">
      <pivotArea type="data" outline="0" fieldPosition="0">
        <references count="2">
          <reference field="4294967294" count="1" selected="0">
            <x v="0"/>
          </reference>
          <reference field="0" count="1" selected="0">
            <x v="5"/>
          </reference>
        </references>
      </pivotArea>
    </chartFormat>
    <chartFormat chart="7" format="69">
      <pivotArea type="data" outline="0" fieldPosition="0">
        <references count="2">
          <reference field="4294967294" count="1" selected="0">
            <x v="0"/>
          </reference>
          <reference field="0" count="1" selected="0">
            <x v="6"/>
          </reference>
        </references>
      </pivotArea>
    </chartFormat>
    <chartFormat chart="7" format="70">
      <pivotArea type="data" outline="0" fieldPosition="0">
        <references count="2">
          <reference field="4294967294" count="1" selected="0">
            <x v="0"/>
          </reference>
          <reference field="0" count="1" selected="0">
            <x v="7"/>
          </reference>
        </references>
      </pivotArea>
    </chartFormat>
    <chartFormat chart="7" format="71">
      <pivotArea type="data" outline="0" fieldPosition="0">
        <references count="2">
          <reference field="4294967294" count="1" selected="0">
            <x v="0"/>
          </reference>
          <reference field="0" count="1" selected="0">
            <x v="8"/>
          </reference>
        </references>
      </pivotArea>
    </chartFormat>
    <chartFormat chart="7" format="72">
      <pivotArea type="data" outline="0" fieldPosition="0">
        <references count="2">
          <reference field="4294967294" count="1" selected="0">
            <x v="0"/>
          </reference>
          <reference field="0" count="1" selected="0">
            <x v="9"/>
          </reference>
        </references>
      </pivotArea>
    </chartFormat>
    <chartFormat chart="7" format="73">
      <pivotArea type="data" outline="0" fieldPosition="0">
        <references count="2">
          <reference field="4294967294" count="1" selected="0">
            <x v="0"/>
          </reference>
          <reference field="0" count="1" selected="0">
            <x v="10"/>
          </reference>
        </references>
      </pivotArea>
    </chartFormat>
    <chartFormat chart="7" format="74">
      <pivotArea type="data" outline="0" fieldPosition="0">
        <references count="2">
          <reference field="4294967294" count="1" selected="0">
            <x v="0"/>
          </reference>
          <reference field="0" count="1" selected="0">
            <x v="11"/>
          </reference>
        </references>
      </pivotArea>
    </chartFormat>
    <chartFormat chart="7" format="75">
      <pivotArea type="data" outline="0" fieldPosition="0">
        <references count="2">
          <reference field="4294967294" count="1" selected="0">
            <x v="0"/>
          </reference>
          <reference field="0" count="1" selected="0">
            <x v="12"/>
          </reference>
        </references>
      </pivotArea>
    </chartFormat>
    <chartFormat chart="7" format="76">
      <pivotArea type="data" outline="0" fieldPosition="0">
        <references count="2">
          <reference field="4294967294" count="1" selected="0">
            <x v="0"/>
          </reference>
          <reference field="0" count="1" selected="0">
            <x v="13"/>
          </reference>
        </references>
      </pivotArea>
    </chartFormat>
    <chartFormat chart="7" format="77">
      <pivotArea type="data" outline="0" fieldPosition="0">
        <references count="2">
          <reference field="4294967294" count="1" selected="0">
            <x v="0"/>
          </reference>
          <reference field="0" count="1" selected="0">
            <x v="14"/>
          </reference>
        </references>
      </pivotArea>
    </chartFormat>
    <chartFormat chart="7" format="78">
      <pivotArea type="data" outline="0" fieldPosition="0">
        <references count="2">
          <reference field="4294967294" count="1" selected="0">
            <x v="0"/>
          </reference>
          <reference field="0" count="1" selected="0">
            <x v="15"/>
          </reference>
        </references>
      </pivotArea>
    </chartFormat>
    <chartFormat chart="7" format="79">
      <pivotArea type="data" outline="0" fieldPosition="0">
        <references count="2">
          <reference field="4294967294" count="1" selected="0">
            <x v="0"/>
          </reference>
          <reference field="0" count="1" selected="0">
            <x v="16"/>
          </reference>
        </references>
      </pivotArea>
    </chartFormat>
    <chartFormat chart="7" format="80">
      <pivotArea type="data" outline="0" fieldPosition="0">
        <references count="2">
          <reference field="4294967294" count="1" selected="0">
            <x v="0"/>
          </reference>
          <reference field="0" count="1" selected="0">
            <x v="17"/>
          </reference>
        </references>
      </pivotArea>
    </chartFormat>
    <chartFormat chart="7" format="81">
      <pivotArea type="data" outline="0" fieldPosition="0">
        <references count="2">
          <reference field="4294967294" count="1" selected="0">
            <x v="0"/>
          </reference>
          <reference field="0" count="1" selected="0">
            <x v="18"/>
          </reference>
        </references>
      </pivotArea>
    </chartFormat>
    <chartFormat chart="7" format="82">
      <pivotArea type="data" outline="0" fieldPosition="0">
        <references count="2">
          <reference field="4294967294" count="1" selected="0">
            <x v="0"/>
          </reference>
          <reference field="0" count="1" selected="0">
            <x v="19"/>
          </reference>
        </references>
      </pivotArea>
    </chartFormat>
    <chartFormat chart="7" format="83">
      <pivotArea type="data" outline="0" fieldPosition="0">
        <references count="2">
          <reference field="4294967294" count="1" selected="0">
            <x v="0"/>
          </reference>
          <reference field="0" count="1" selected="0">
            <x v="20"/>
          </reference>
        </references>
      </pivotArea>
    </chartFormat>
    <chartFormat chart="7" format="84">
      <pivotArea type="data" outline="0" fieldPosition="0">
        <references count="2">
          <reference field="4294967294" count="1" selected="0">
            <x v="0"/>
          </reference>
          <reference field="0" count="1" selected="0">
            <x v="21"/>
          </reference>
        </references>
      </pivotArea>
    </chartFormat>
    <chartFormat chart="7" format="85">
      <pivotArea type="data" outline="0" fieldPosition="0">
        <references count="2">
          <reference field="4294967294" count="1" selected="0">
            <x v="0"/>
          </reference>
          <reference field="0" count="1" selected="0">
            <x v="22"/>
          </reference>
        </references>
      </pivotArea>
    </chartFormat>
    <chartFormat chart="7" format="86">
      <pivotArea type="data" outline="0" fieldPosition="0">
        <references count="2">
          <reference field="4294967294" count="1" selected="0">
            <x v="0"/>
          </reference>
          <reference field="0" count="1" selected="0">
            <x v="23"/>
          </reference>
        </references>
      </pivotArea>
    </chartFormat>
    <chartFormat chart="7" format="87">
      <pivotArea type="data" outline="0" fieldPosition="0">
        <references count="2">
          <reference field="4294967294" count="1" selected="0">
            <x v="0"/>
          </reference>
          <reference field="0" count="1" selected="0">
            <x v="24"/>
          </reference>
        </references>
      </pivotArea>
    </chartFormat>
    <chartFormat chart="7" format="88">
      <pivotArea type="data" outline="0" fieldPosition="0">
        <references count="2">
          <reference field="4294967294" count="1" selected="0">
            <x v="0"/>
          </reference>
          <reference field="0" count="1" selected="0">
            <x v="25"/>
          </reference>
        </references>
      </pivotArea>
    </chartFormat>
    <chartFormat chart="7" format="89">
      <pivotArea type="data" outline="0" fieldPosition="0">
        <references count="2">
          <reference field="4294967294" count="1" selected="0">
            <x v="0"/>
          </reference>
          <reference field="0" count="1" selected="0">
            <x v="26"/>
          </reference>
        </references>
      </pivotArea>
    </chartFormat>
    <chartFormat chart="7" format="90">
      <pivotArea type="data" outline="0" fieldPosition="0">
        <references count="2">
          <reference field="4294967294" count="1" selected="0">
            <x v="0"/>
          </reference>
          <reference field="0" count="1" selected="0">
            <x v="27"/>
          </reference>
        </references>
      </pivotArea>
    </chartFormat>
    <chartFormat chart="7" format="91">
      <pivotArea type="data" outline="0" fieldPosition="0">
        <references count="2">
          <reference field="4294967294" count="1" selected="0">
            <x v="0"/>
          </reference>
          <reference field="0" count="1" selected="0">
            <x v="28"/>
          </reference>
        </references>
      </pivotArea>
    </chartFormat>
    <chartFormat chart="7" format="92">
      <pivotArea type="data" outline="0" fieldPosition="0">
        <references count="2">
          <reference field="4294967294" count="1" selected="0">
            <x v="0"/>
          </reference>
          <reference field="0" count="1" selected="0">
            <x v="29"/>
          </reference>
        </references>
      </pivotArea>
    </chartFormat>
    <chartFormat chart="7" format="93">
      <pivotArea type="data" outline="0" fieldPosition="0">
        <references count="2">
          <reference field="4294967294" count="1" selected="0">
            <x v="0"/>
          </reference>
          <reference field="0" count="1" selected="0">
            <x v="30"/>
          </reference>
        </references>
      </pivotArea>
    </chartFormat>
    <chartFormat chart="7" format="94">
      <pivotArea type="data" outline="0" fieldPosition="0">
        <references count="2">
          <reference field="4294967294" count="1" selected="0">
            <x v="0"/>
          </reference>
          <reference field="0" count="1" selected="0">
            <x v="31"/>
          </reference>
        </references>
      </pivotArea>
    </chartFormat>
    <chartFormat chart="7" format="95">
      <pivotArea type="data" outline="0" fieldPosition="0">
        <references count="2">
          <reference field="4294967294" count="1" selected="0">
            <x v="0"/>
          </reference>
          <reference field="0" count="1" selected="0">
            <x v="32"/>
          </reference>
        </references>
      </pivotArea>
    </chartFormat>
    <chartFormat chart="7" format="96">
      <pivotArea type="data" outline="0" fieldPosition="0">
        <references count="2">
          <reference field="4294967294" count="1" selected="0">
            <x v="0"/>
          </reference>
          <reference field="0" count="1" selected="0">
            <x v="33"/>
          </reference>
        </references>
      </pivotArea>
    </chartFormat>
    <chartFormat chart="7" format="97">
      <pivotArea type="data" outline="0" fieldPosition="0">
        <references count="2">
          <reference field="4294967294" count="1" selected="0">
            <x v="0"/>
          </reference>
          <reference field="0" count="1" selected="0">
            <x v="34"/>
          </reference>
        </references>
      </pivotArea>
    </chartFormat>
    <chartFormat chart="7" format="98">
      <pivotArea type="data" outline="0" fieldPosition="0">
        <references count="2">
          <reference field="4294967294" count="1" selected="0">
            <x v="0"/>
          </reference>
          <reference field="0" count="1" selected="0">
            <x v="35"/>
          </reference>
        </references>
      </pivotArea>
    </chartFormat>
    <chartFormat chart="7" format="99">
      <pivotArea type="data" outline="0" fieldPosition="0">
        <references count="2">
          <reference field="4294967294" count="1" selected="0">
            <x v="0"/>
          </reference>
          <reference field="0" count="1" selected="0">
            <x v="36"/>
          </reference>
        </references>
      </pivotArea>
    </chartFormat>
    <chartFormat chart="7" format="100">
      <pivotArea type="data" outline="0" fieldPosition="0">
        <references count="2">
          <reference field="4294967294" count="1" selected="0">
            <x v="0"/>
          </reference>
          <reference field="0" count="1" selected="0">
            <x v="37"/>
          </reference>
        </references>
      </pivotArea>
    </chartFormat>
    <chartFormat chart="7" format="101">
      <pivotArea type="data" outline="0" fieldPosition="0">
        <references count="2">
          <reference field="4294967294" count="1" selected="0">
            <x v="0"/>
          </reference>
          <reference field="0" count="1" selected="0">
            <x v="38"/>
          </reference>
        </references>
      </pivotArea>
    </chartFormat>
    <chartFormat chart="7" format="102">
      <pivotArea type="data" outline="0" fieldPosition="0">
        <references count="2">
          <reference field="4294967294" count="1" selected="0">
            <x v="0"/>
          </reference>
          <reference field="0" count="1" selected="0">
            <x v="39"/>
          </reference>
        </references>
      </pivotArea>
    </chartFormat>
    <chartFormat chart="7" format="103">
      <pivotArea type="data" outline="0" fieldPosition="0">
        <references count="2">
          <reference field="4294967294" count="1" selected="0">
            <x v="0"/>
          </reference>
          <reference field="0" count="1" selected="0">
            <x v="40"/>
          </reference>
        </references>
      </pivotArea>
    </chartFormat>
    <chartFormat chart="7" format="104">
      <pivotArea type="data" outline="0" fieldPosition="0">
        <references count="2">
          <reference field="4294967294" count="1" selected="0">
            <x v="0"/>
          </reference>
          <reference field="0" count="1" selected="0">
            <x v="41"/>
          </reference>
        </references>
      </pivotArea>
    </chartFormat>
    <chartFormat chart="7" format="105">
      <pivotArea type="data" outline="0" fieldPosition="0">
        <references count="2">
          <reference field="4294967294" count="1" selected="0">
            <x v="0"/>
          </reference>
          <reference field="0" count="1" selected="0">
            <x v="42"/>
          </reference>
        </references>
      </pivotArea>
    </chartFormat>
    <chartFormat chart="7" format="106">
      <pivotArea type="data" outline="0" fieldPosition="0">
        <references count="2">
          <reference field="4294967294" count="1" selected="0">
            <x v="0"/>
          </reference>
          <reference field="0" count="1" selected="0">
            <x v="43"/>
          </reference>
        </references>
      </pivotArea>
    </chartFormat>
    <chartFormat chart="7" format="107">
      <pivotArea type="data" outline="0" fieldPosition="0">
        <references count="2">
          <reference field="4294967294" count="1" selected="0">
            <x v="0"/>
          </reference>
          <reference field="0" count="1" selected="0">
            <x v="44"/>
          </reference>
        </references>
      </pivotArea>
    </chartFormat>
    <chartFormat chart="7" format="108">
      <pivotArea type="data" outline="0" fieldPosition="0">
        <references count="2">
          <reference field="4294967294" count="1" selected="0">
            <x v="0"/>
          </reference>
          <reference field="0" count="1" selected="0">
            <x v="45"/>
          </reference>
        </references>
      </pivotArea>
    </chartFormat>
    <chartFormat chart="7" format="109">
      <pivotArea type="data" outline="0" fieldPosition="0">
        <references count="2">
          <reference field="4294967294" count="1" selected="0">
            <x v="0"/>
          </reference>
          <reference field="0" count="1" selected="0">
            <x v="46"/>
          </reference>
        </references>
      </pivotArea>
    </chartFormat>
    <chartFormat chart="7" format="110">
      <pivotArea type="data" outline="0" fieldPosition="0">
        <references count="2">
          <reference field="4294967294" count="1" selected="0">
            <x v="0"/>
          </reference>
          <reference field="0" count="1" selected="0">
            <x v="47"/>
          </reference>
        </references>
      </pivotArea>
    </chartFormat>
    <chartFormat chart="7" format="111">
      <pivotArea type="data" outline="0" fieldPosition="0">
        <references count="2">
          <reference field="4294967294" count="1" selected="0">
            <x v="0"/>
          </reference>
          <reference field="0" count="1" selected="0">
            <x v="48"/>
          </reference>
        </references>
      </pivotArea>
    </chartFormat>
    <chartFormat chart="7" format="112">
      <pivotArea type="data" outline="0" fieldPosition="0">
        <references count="2">
          <reference field="4294967294" count="1" selected="0">
            <x v="0"/>
          </reference>
          <reference field="0" count="1" selected="0">
            <x v="49"/>
          </reference>
        </references>
      </pivotArea>
    </chartFormat>
    <chartFormat chart="7" format="113">
      <pivotArea type="data" outline="0" fieldPosition="0">
        <references count="2">
          <reference field="4294967294" count="1" selected="0">
            <x v="0"/>
          </reference>
          <reference field="0" count="1" selected="0">
            <x v="50"/>
          </reference>
        </references>
      </pivotArea>
    </chartFormat>
    <chartFormat chart="7" format="114">
      <pivotArea type="data" outline="0" fieldPosition="0">
        <references count="2">
          <reference field="4294967294" count="1" selected="0">
            <x v="0"/>
          </reference>
          <reference field="0" count="1" selected="0">
            <x v="51"/>
          </reference>
        </references>
      </pivotArea>
    </chartFormat>
    <chartFormat chart="7" format="115">
      <pivotArea type="data" outline="0" fieldPosition="0">
        <references count="2">
          <reference field="4294967294" count="1" selected="0">
            <x v="0"/>
          </reference>
          <reference field="0" count="1" selected="0">
            <x v="52"/>
          </reference>
        </references>
      </pivotArea>
    </chartFormat>
    <chartFormat chart="7" format="116">
      <pivotArea type="data" outline="0" fieldPosition="0">
        <references count="2">
          <reference field="4294967294" count="1" selected="0">
            <x v="0"/>
          </reference>
          <reference field="0" count="1" selected="0">
            <x v="53"/>
          </reference>
        </references>
      </pivotArea>
    </chartFormat>
    <chartFormat chart="7" format="117">
      <pivotArea type="data" outline="0" fieldPosition="0">
        <references count="2">
          <reference field="4294967294" count="1" selected="0">
            <x v="0"/>
          </reference>
          <reference field="0" count="1" selected="0">
            <x v="54"/>
          </reference>
        </references>
      </pivotArea>
    </chartFormat>
    <chartFormat chart="7" format="118">
      <pivotArea type="data" outline="0" fieldPosition="0">
        <references count="2">
          <reference field="4294967294" count="1" selected="0">
            <x v="0"/>
          </reference>
          <reference field="0" count="1" selected="0">
            <x v="55"/>
          </reference>
        </references>
      </pivotArea>
    </chartFormat>
    <chartFormat chart="7" format="119">
      <pivotArea type="data" outline="0" fieldPosition="0">
        <references count="2">
          <reference field="4294967294" count="1" selected="0">
            <x v="0"/>
          </reference>
          <reference field="0" count="1" selected="0">
            <x v="56"/>
          </reference>
        </references>
      </pivotArea>
    </chartFormat>
    <chartFormat chart="7" format="120">
      <pivotArea type="data" outline="0" fieldPosition="0">
        <references count="2">
          <reference field="4294967294" count="1" selected="0">
            <x v="0"/>
          </reference>
          <reference field="0" count="1" selected="0">
            <x v="57"/>
          </reference>
        </references>
      </pivotArea>
    </chartFormat>
    <chartFormat chart="7" format="121">
      <pivotArea type="data" outline="0" fieldPosition="0">
        <references count="2">
          <reference field="4294967294" count="1" selected="0">
            <x v="0"/>
          </reference>
          <reference field="0" count="1" selected="0">
            <x v="58"/>
          </reference>
        </references>
      </pivotArea>
    </chartFormat>
    <chartFormat chart="7" format="122">
      <pivotArea type="data" outline="0" fieldPosition="0">
        <references count="2">
          <reference field="4294967294" count="1" selected="0">
            <x v="0"/>
          </reference>
          <reference field="0" count="1" selected="0">
            <x v="59"/>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4"/>
          </reference>
        </references>
      </pivotArea>
    </chartFormat>
    <chartFormat chart="3" format="6">
      <pivotArea type="data" outline="0" fieldPosition="0">
        <references count="2">
          <reference field="4294967294" count="1" selected="0">
            <x v="0"/>
          </reference>
          <reference field="0" count="1" selected="0">
            <x v="5"/>
          </reference>
        </references>
      </pivotArea>
    </chartFormat>
    <chartFormat chart="3" format="7">
      <pivotArea type="data" outline="0" fieldPosition="0">
        <references count="2">
          <reference field="4294967294" count="1" selected="0">
            <x v="0"/>
          </reference>
          <reference field="0" count="1" selected="0">
            <x v="6"/>
          </reference>
        </references>
      </pivotArea>
    </chartFormat>
    <chartFormat chart="3" format="8">
      <pivotArea type="data" outline="0" fieldPosition="0">
        <references count="2">
          <reference field="4294967294" count="1" selected="0">
            <x v="0"/>
          </reference>
          <reference field="0" count="1" selected="0">
            <x v="7"/>
          </reference>
        </references>
      </pivotArea>
    </chartFormat>
    <chartFormat chart="3" format="9">
      <pivotArea type="data" outline="0" fieldPosition="0">
        <references count="2">
          <reference field="4294967294" count="1" selected="0">
            <x v="0"/>
          </reference>
          <reference field="0" count="1" selected="0">
            <x v="8"/>
          </reference>
        </references>
      </pivotArea>
    </chartFormat>
    <chartFormat chart="3" format="10">
      <pivotArea type="data" outline="0" fieldPosition="0">
        <references count="2">
          <reference field="4294967294" count="1" selected="0">
            <x v="0"/>
          </reference>
          <reference field="0" count="1" selected="0">
            <x v="9"/>
          </reference>
        </references>
      </pivotArea>
    </chartFormat>
    <chartFormat chart="3" format="11">
      <pivotArea type="data" outline="0" fieldPosition="0">
        <references count="2">
          <reference field="4294967294" count="1" selected="0">
            <x v="0"/>
          </reference>
          <reference field="0" count="1" selected="0">
            <x v="10"/>
          </reference>
        </references>
      </pivotArea>
    </chartFormat>
    <chartFormat chart="3" format="12">
      <pivotArea type="data" outline="0" fieldPosition="0">
        <references count="2">
          <reference field="4294967294" count="1" selected="0">
            <x v="0"/>
          </reference>
          <reference field="0" count="1" selected="0">
            <x v="11"/>
          </reference>
        </references>
      </pivotArea>
    </chartFormat>
    <chartFormat chart="3" format="13">
      <pivotArea type="data" outline="0" fieldPosition="0">
        <references count="2">
          <reference field="4294967294" count="1" selected="0">
            <x v="0"/>
          </reference>
          <reference field="0" count="1" selected="0">
            <x v="12"/>
          </reference>
        </references>
      </pivotArea>
    </chartFormat>
    <chartFormat chart="3" format="14">
      <pivotArea type="data" outline="0" fieldPosition="0">
        <references count="2">
          <reference field="4294967294" count="1" selected="0">
            <x v="0"/>
          </reference>
          <reference field="0" count="1" selected="0">
            <x v="13"/>
          </reference>
        </references>
      </pivotArea>
    </chartFormat>
    <chartFormat chart="3" format="15">
      <pivotArea type="data" outline="0" fieldPosition="0">
        <references count="2">
          <reference field="4294967294" count="1" selected="0">
            <x v="0"/>
          </reference>
          <reference field="0" count="1" selected="0">
            <x v="14"/>
          </reference>
        </references>
      </pivotArea>
    </chartFormat>
    <chartFormat chart="3" format="16">
      <pivotArea type="data" outline="0" fieldPosition="0">
        <references count="2">
          <reference field="4294967294" count="1" selected="0">
            <x v="0"/>
          </reference>
          <reference field="0" count="1" selected="0">
            <x v="15"/>
          </reference>
        </references>
      </pivotArea>
    </chartFormat>
    <chartFormat chart="3" format="17">
      <pivotArea type="data" outline="0" fieldPosition="0">
        <references count="2">
          <reference field="4294967294" count="1" selected="0">
            <x v="0"/>
          </reference>
          <reference field="0" count="1" selected="0">
            <x v="16"/>
          </reference>
        </references>
      </pivotArea>
    </chartFormat>
    <chartFormat chart="3" format="18">
      <pivotArea type="data" outline="0" fieldPosition="0">
        <references count="2">
          <reference field="4294967294" count="1" selected="0">
            <x v="0"/>
          </reference>
          <reference field="0" count="1" selected="0">
            <x v="17"/>
          </reference>
        </references>
      </pivotArea>
    </chartFormat>
    <chartFormat chart="3" format="19">
      <pivotArea type="data" outline="0" fieldPosition="0">
        <references count="2">
          <reference field="4294967294" count="1" selected="0">
            <x v="0"/>
          </reference>
          <reference field="0" count="1" selected="0">
            <x v="18"/>
          </reference>
        </references>
      </pivotArea>
    </chartFormat>
    <chartFormat chart="3" format="20">
      <pivotArea type="data" outline="0" fieldPosition="0">
        <references count="2">
          <reference field="4294967294" count="1" selected="0">
            <x v="0"/>
          </reference>
          <reference field="0" count="1" selected="0">
            <x v="19"/>
          </reference>
        </references>
      </pivotArea>
    </chartFormat>
    <chartFormat chart="3" format="21">
      <pivotArea type="data" outline="0" fieldPosition="0">
        <references count="2">
          <reference field="4294967294" count="1" selected="0">
            <x v="0"/>
          </reference>
          <reference field="0" count="1" selected="0">
            <x v="20"/>
          </reference>
        </references>
      </pivotArea>
    </chartFormat>
    <chartFormat chart="3" format="22">
      <pivotArea type="data" outline="0" fieldPosition="0">
        <references count="2">
          <reference field="4294967294" count="1" selected="0">
            <x v="0"/>
          </reference>
          <reference field="0" count="1" selected="0">
            <x v="21"/>
          </reference>
        </references>
      </pivotArea>
    </chartFormat>
    <chartFormat chart="3" format="23">
      <pivotArea type="data" outline="0" fieldPosition="0">
        <references count="2">
          <reference field="4294967294" count="1" selected="0">
            <x v="0"/>
          </reference>
          <reference field="0" count="1" selected="0">
            <x v="22"/>
          </reference>
        </references>
      </pivotArea>
    </chartFormat>
    <chartFormat chart="3" format="24">
      <pivotArea type="data" outline="0" fieldPosition="0">
        <references count="2">
          <reference field="4294967294" count="1" selected="0">
            <x v="0"/>
          </reference>
          <reference field="0" count="1" selected="0">
            <x v="23"/>
          </reference>
        </references>
      </pivotArea>
    </chartFormat>
    <chartFormat chart="3" format="25">
      <pivotArea type="data" outline="0" fieldPosition="0">
        <references count="2">
          <reference field="4294967294" count="1" selected="0">
            <x v="0"/>
          </reference>
          <reference field="0" count="1" selected="0">
            <x v="24"/>
          </reference>
        </references>
      </pivotArea>
    </chartFormat>
    <chartFormat chart="3" format="26">
      <pivotArea type="data" outline="0" fieldPosition="0">
        <references count="2">
          <reference field="4294967294" count="1" selected="0">
            <x v="0"/>
          </reference>
          <reference field="0" count="1" selected="0">
            <x v="25"/>
          </reference>
        </references>
      </pivotArea>
    </chartFormat>
    <chartFormat chart="3" format="27">
      <pivotArea type="data" outline="0" fieldPosition="0">
        <references count="2">
          <reference field="4294967294" count="1" selected="0">
            <x v="0"/>
          </reference>
          <reference field="0" count="1" selected="0">
            <x v="26"/>
          </reference>
        </references>
      </pivotArea>
    </chartFormat>
    <chartFormat chart="3" format="28">
      <pivotArea type="data" outline="0" fieldPosition="0">
        <references count="2">
          <reference field="4294967294" count="1" selected="0">
            <x v="0"/>
          </reference>
          <reference field="0" count="1" selected="0">
            <x v="27"/>
          </reference>
        </references>
      </pivotArea>
    </chartFormat>
    <chartFormat chart="3" format="29">
      <pivotArea type="data" outline="0" fieldPosition="0">
        <references count="2">
          <reference field="4294967294" count="1" selected="0">
            <x v="0"/>
          </reference>
          <reference field="0" count="1" selected="0">
            <x v="28"/>
          </reference>
        </references>
      </pivotArea>
    </chartFormat>
    <chartFormat chart="3" format="30">
      <pivotArea type="data" outline="0" fieldPosition="0">
        <references count="2">
          <reference field="4294967294" count="1" selected="0">
            <x v="0"/>
          </reference>
          <reference field="0" count="1" selected="0">
            <x v="29"/>
          </reference>
        </references>
      </pivotArea>
    </chartFormat>
    <chartFormat chart="3" format="31">
      <pivotArea type="data" outline="0" fieldPosition="0">
        <references count="2">
          <reference field="4294967294" count="1" selected="0">
            <x v="0"/>
          </reference>
          <reference field="0" count="1" selected="0">
            <x v="30"/>
          </reference>
        </references>
      </pivotArea>
    </chartFormat>
    <chartFormat chart="3" format="32">
      <pivotArea type="data" outline="0" fieldPosition="0">
        <references count="2">
          <reference field="4294967294" count="1" selected="0">
            <x v="0"/>
          </reference>
          <reference field="0" count="1" selected="0">
            <x v="31"/>
          </reference>
        </references>
      </pivotArea>
    </chartFormat>
    <chartFormat chart="3" format="33">
      <pivotArea type="data" outline="0" fieldPosition="0">
        <references count="2">
          <reference field="4294967294" count="1" selected="0">
            <x v="0"/>
          </reference>
          <reference field="0" count="1" selected="0">
            <x v="32"/>
          </reference>
        </references>
      </pivotArea>
    </chartFormat>
    <chartFormat chart="3" format="34">
      <pivotArea type="data" outline="0" fieldPosition="0">
        <references count="2">
          <reference field="4294967294" count="1" selected="0">
            <x v="0"/>
          </reference>
          <reference field="0" count="1" selected="0">
            <x v="33"/>
          </reference>
        </references>
      </pivotArea>
    </chartFormat>
    <chartFormat chart="3" format="35">
      <pivotArea type="data" outline="0" fieldPosition="0">
        <references count="2">
          <reference field="4294967294" count="1" selected="0">
            <x v="0"/>
          </reference>
          <reference field="0" count="1" selected="0">
            <x v="34"/>
          </reference>
        </references>
      </pivotArea>
    </chartFormat>
    <chartFormat chart="3" format="36">
      <pivotArea type="data" outline="0" fieldPosition="0">
        <references count="2">
          <reference field="4294967294" count="1" selected="0">
            <x v="0"/>
          </reference>
          <reference field="0" count="1" selected="0">
            <x v="35"/>
          </reference>
        </references>
      </pivotArea>
    </chartFormat>
    <chartFormat chart="3" format="37">
      <pivotArea type="data" outline="0" fieldPosition="0">
        <references count="2">
          <reference field="4294967294" count="1" selected="0">
            <x v="0"/>
          </reference>
          <reference field="0" count="1" selected="0">
            <x v="36"/>
          </reference>
        </references>
      </pivotArea>
    </chartFormat>
    <chartFormat chart="3" format="38">
      <pivotArea type="data" outline="0" fieldPosition="0">
        <references count="2">
          <reference field="4294967294" count="1" selected="0">
            <x v="0"/>
          </reference>
          <reference field="0" count="1" selected="0">
            <x v="37"/>
          </reference>
        </references>
      </pivotArea>
    </chartFormat>
    <chartFormat chart="3" format="39">
      <pivotArea type="data" outline="0" fieldPosition="0">
        <references count="2">
          <reference field="4294967294" count="1" selected="0">
            <x v="0"/>
          </reference>
          <reference field="0" count="1" selected="0">
            <x v="38"/>
          </reference>
        </references>
      </pivotArea>
    </chartFormat>
    <chartFormat chart="3" format="40">
      <pivotArea type="data" outline="0" fieldPosition="0">
        <references count="2">
          <reference field="4294967294" count="1" selected="0">
            <x v="0"/>
          </reference>
          <reference field="0" count="1" selected="0">
            <x v="39"/>
          </reference>
        </references>
      </pivotArea>
    </chartFormat>
    <chartFormat chart="3" format="41">
      <pivotArea type="data" outline="0" fieldPosition="0">
        <references count="2">
          <reference field="4294967294" count="1" selected="0">
            <x v="0"/>
          </reference>
          <reference field="0" count="1" selected="0">
            <x v="40"/>
          </reference>
        </references>
      </pivotArea>
    </chartFormat>
    <chartFormat chart="3" format="42">
      <pivotArea type="data" outline="0" fieldPosition="0">
        <references count="2">
          <reference field="4294967294" count="1" selected="0">
            <x v="0"/>
          </reference>
          <reference field="0" count="1" selected="0">
            <x v="41"/>
          </reference>
        </references>
      </pivotArea>
    </chartFormat>
    <chartFormat chart="3" format="43">
      <pivotArea type="data" outline="0" fieldPosition="0">
        <references count="2">
          <reference field="4294967294" count="1" selected="0">
            <x v="0"/>
          </reference>
          <reference field="0" count="1" selected="0">
            <x v="42"/>
          </reference>
        </references>
      </pivotArea>
    </chartFormat>
    <chartFormat chart="3" format="44">
      <pivotArea type="data" outline="0" fieldPosition="0">
        <references count="2">
          <reference field="4294967294" count="1" selected="0">
            <x v="0"/>
          </reference>
          <reference field="0" count="1" selected="0">
            <x v="43"/>
          </reference>
        </references>
      </pivotArea>
    </chartFormat>
    <chartFormat chart="3" format="45">
      <pivotArea type="data" outline="0" fieldPosition="0">
        <references count="2">
          <reference field="4294967294" count="1" selected="0">
            <x v="0"/>
          </reference>
          <reference field="0" count="1" selected="0">
            <x v="44"/>
          </reference>
        </references>
      </pivotArea>
    </chartFormat>
    <chartFormat chart="3" format="46">
      <pivotArea type="data" outline="0" fieldPosition="0">
        <references count="2">
          <reference field="4294967294" count="1" selected="0">
            <x v="0"/>
          </reference>
          <reference field="0" count="1" selected="0">
            <x v="45"/>
          </reference>
        </references>
      </pivotArea>
    </chartFormat>
    <chartFormat chart="3" format="47">
      <pivotArea type="data" outline="0" fieldPosition="0">
        <references count="2">
          <reference field="4294967294" count="1" selected="0">
            <x v="0"/>
          </reference>
          <reference field="0" count="1" selected="0">
            <x v="46"/>
          </reference>
        </references>
      </pivotArea>
    </chartFormat>
    <chartFormat chart="3" format="48">
      <pivotArea type="data" outline="0" fieldPosition="0">
        <references count="2">
          <reference field="4294967294" count="1" selected="0">
            <x v="0"/>
          </reference>
          <reference field="0" count="1" selected="0">
            <x v="47"/>
          </reference>
        </references>
      </pivotArea>
    </chartFormat>
    <chartFormat chart="3" format="49">
      <pivotArea type="data" outline="0" fieldPosition="0">
        <references count="2">
          <reference field="4294967294" count="1" selected="0">
            <x v="0"/>
          </reference>
          <reference field="0" count="1" selected="0">
            <x v="48"/>
          </reference>
        </references>
      </pivotArea>
    </chartFormat>
    <chartFormat chart="3" format="50">
      <pivotArea type="data" outline="0" fieldPosition="0">
        <references count="2">
          <reference field="4294967294" count="1" selected="0">
            <x v="0"/>
          </reference>
          <reference field="0" count="1" selected="0">
            <x v="49"/>
          </reference>
        </references>
      </pivotArea>
    </chartFormat>
    <chartFormat chart="3" format="51">
      <pivotArea type="data" outline="0" fieldPosition="0">
        <references count="2">
          <reference field="4294967294" count="1" selected="0">
            <x v="0"/>
          </reference>
          <reference field="0" count="1" selected="0">
            <x v="50"/>
          </reference>
        </references>
      </pivotArea>
    </chartFormat>
    <chartFormat chart="3" format="52">
      <pivotArea type="data" outline="0" fieldPosition="0">
        <references count="2">
          <reference field="4294967294" count="1" selected="0">
            <x v="0"/>
          </reference>
          <reference field="0" count="1" selected="0">
            <x v="51"/>
          </reference>
        </references>
      </pivotArea>
    </chartFormat>
    <chartFormat chart="3" format="53">
      <pivotArea type="data" outline="0" fieldPosition="0">
        <references count="2">
          <reference field="4294967294" count="1" selected="0">
            <x v="0"/>
          </reference>
          <reference field="0" count="1" selected="0">
            <x v="52"/>
          </reference>
        </references>
      </pivotArea>
    </chartFormat>
    <chartFormat chart="3" format="54">
      <pivotArea type="data" outline="0" fieldPosition="0">
        <references count="2">
          <reference field="4294967294" count="1" selected="0">
            <x v="0"/>
          </reference>
          <reference field="0" count="1" selected="0">
            <x v="53"/>
          </reference>
        </references>
      </pivotArea>
    </chartFormat>
    <chartFormat chart="3" format="55">
      <pivotArea type="data" outline="0" fieldPosition="0">
        <references count="2">
          <reference field="4294967294" count="1" selected="0">
            <x v="0"/>
          </reference>
          <reference field="0" count="1" selected="0">
            <x v="54"/>
          </reference>
        </references>
      </pivotArea>
    </chartFormat>
    <chartFormat chart="3" format="56">
      <pivotArea type="data" outline="0" fieldPosition="0">
        <references count="2">
          <reference field="4294967294" count="1" selected="0">
            <x v="0"/>
          </reference>
          <reference field="0" count="1" selected="0">
            <x v="55"/>
          </reference>
        </references>
      </pivotArea>
    </chartFormat>
    <chartFormat chart="3" format="57">
      <pivotArea type="data" outline="0" fieldPosition="0">
        <references count="2">
          <reference field="4294967294" count="1" selected="0">
            <x v="0"/>
          </reference>
          <reference field="0" count="1" selected="0">
            <x v="56"/>
          </reference>
        </references>
      </pivotArea>
    </chartFormat>
    <chartFormat chart="3" format="58">
      <pivotArea type="data" outline="0" fieldPosition="0">
        <references count="2">
          <reference field="4294967294" count="1" selected="0">
            <x v="0"/>
          </reference>
          <reference field="0" count="1" selected="0">
            <x v="57"/>
          </reference>
        </references>
      </pivotArea>
    </chartFormat>
    <chartFormat chart="3" format="59">
      <pivotArea type="data" outline="0" fieldPosition="0">
        <references count="2">
          <reference field="4294967294" count="1" selected="0">
            <x v="0"/>
          </reference>
          <reference field="0" count="1" selected="0">
            <x v="58"/>
          </reference>
        </references>
      </pivotArea>
    </chartFormat>
    <chartFormat chart="3" format="60">
      <pivotArea type="data" outline="0" fieldPosition="0">
        <references count="2">
          <reference field="4294967294" count="1" selected="0">
            <x v="0"/>
          </reference>
          <reference field="0" count="1" selected="0">
            <x v="5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B64" firstHeaderRow="1" firstDataRow="1" firstDataCol="1"/>
  <pivotFields count="5">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dataField="1" showAll="0">
      <items count="6">
        <item x="3"/>
        <item x="1"/>
        <item x="0"/>
        <item x="2"/>
        <item x="4"/>
        <item t="default"/>
      </items>
    </pivotField>
    <pivotField showAll="0">
      <items count="15">
        <item x="6"/>
        <item x="2"/>
        <item x="4"/>
        <item x="11"/>
        <item x="8"/>
        <item x="1"/>
        <item x="0"/>
        <item x="3"/>
        <item x="7"/>
        <item x="9"/>
        <item x="12"/>
        <item x="10"/>
        <item x="5"/>
        <item x="13"/>
        <item t="default"/>
      </items>
    </pivotField>
    <pivotField showAll="0">
      <items count="34">
        <item x="10"/>
        <item x="22"/>
        <item x="7"/>
        <item x="26"/>
        <item x="17"/>
        <item x="13"/>
        <item x="3"/>
        <item x="8"/>
        <item x="14"/>
        <item x="4"/>
        <item x="20"/>
        <item x="2"/>
        <item x="16"/>
        <item x="12"/>
        <item x="24"/>
        <item x="6"/>
        <item x="19"/>
        <item x="28"/>
        <item x="31"/>
        <item x="9"/>
        <item x="32"/>
        <item x="21"/>
        <item x="1"/>
        <item x="25"/>
        <item x="11"/>
        <item x="29"/>
        <item x="23"/>
        <item x="15"/>
        <item x="27"/>
        <item x="5"/>
        <item x="18"/>
        <item x="30"/>
        <item x="0"/>
        <item t="default"/>
      </items>
    </pivotField>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Count of Category" fld="2" subtotal="count" baseField="0" baseItem="0"/>
  </dataFields>
  <chartFormats count="3">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L5:M66" firstHeaderRow="1" firstDataRow="1" firstDataCol="1"/>
  <pivotFields count="5">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dataField="1" showAll="0">
      <items count="6">
        <item x="3"/>
        <item x="1"/>
        <item x="0"/>
        <item x="2"/>
        <item x="4"/>
        <item t="default"/>
      </items>
    </pivotField>
    <pivotField showAll="0"/>
    <pivotField showAll="0"/>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Count of Category"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ivotTable5"/>
  </pivotTables>
  <data>
    <tabular pivotCacheId="1">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scription" sourceName="Discription">
  <pivotTables>
    <pivotTable tabId="6" name="PivotTable5"/>
  </pivotTables>
  <data>
    <tabular pivotCacheId="1">
      <items count="14">
        <i x="6" s="1"/>
        <i x="2" s="1"/>
        <i x="4" s="1"/>
        <i x="11" s="1"/>
        <i x="8" s="1"/>
        <i x="1" s="1"/>
        <i x="0" s="1"/>
        <i x="3" s="1"/>
        <i x="7" s="1"/>
        <i x="9" s="1"/>
        <i x="12" s="1"/>
        <i x="10" s="1"/>
        <i x="5"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ctual_amount" sourceName="Actual amount">
  <pivotTables>
    <pivotTable tabId="6" name="PivotTable5"/>
  </pivotTables>
  <data>
    <tabular pivotCacheId="1">
      <items count="33">
        <i x="10" s="1"/>
        <i x="22" s="1"/>
        <i x="7" s="1"/>
        <i x="26" s="1"/>
        <i x="17" s="1"/>
        <i x="13" s="1"/>
        <i x="3" s="1"/>
        <i x="8" s="1"/>
        <i x="14" s="1"/>
        <i x="4" s="1"/>
        <i x="20" s="1"/>
        <i x="2" s="1"/>
        <i x="16" s="1"/>
        <i x="12" s="1"/>
        <i x="24" s="1"/>
        <i x="6" s="1"/>
        <i x="19" s="1"/>
        <i x="28" s="1"/>
        <i x="31" s="1"/>
        <i x="9" s="1"/>
        <i x="32" s="1"/>
        <i x="21" s="1"/>
        <i x="1" s="1"/>
        <i x="25" s="1"/>
        <i x="11" s="1"/>
        <i x="29" s="1"/>
        <i x="23" s="1"/>
        <i x="15" s="1"/>
        <i x="27" s="1"/>
        <i x="5" s="1"/>
        <i x="18" s="1"/>
        <i x="30"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Discription" cache="Slicer_Discription" caption="Discription" rowHeight="241300"/>
  <slicer name="Actual amount" cache="Slicer_Actual_amount" caption="Actual amoun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rowHeight="241300"/>
  <slicer name="Discription 1" cache="Slicer_Discription" caption="Discription" startItem="6" rowHeight="241300"/>
  <slicer name="Actual amount 1" cache="Slicer_Actual_amount" caption="Actual amount" startItem="1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68"/>
  <sheetViews>
    <sheetView tabSelected="1" topLeftCell="A30" workbookViewId="0">
      <selection activeCell="J85" sqref="J85"/>
    </sheetView>
  </sheetViews>
  <sheetFormatPr defaultRowHeight="14.25"/>
  <cols>
    <col min="1" max="1" width="13.125" customWidth="1"/>
    <col min="2" max="2" width="17.25" bestFit="1" customWidth="1"/>
    <col min="4" max="4" width="13.125" customWidth="1"/>
    <col min="5" max="5" width="18.875" bestFit="1" customWidth="1"/>
    <col min="6" max="6" width="17.25" bestFit="1" customWidth="1"/>
    <col min="8" max="8" width="13.125" bestFit="1" customWidth="1"/>
    <col min="9" max="9" width="21.25" bestFit="1" customWidth="1"/>
    <col min="10" max="10" width="20.125" customWidth="1"/>
    <col min="11" max="11" width="20.125" bestFit="1" customWidth="1"/>
  </cols>
  <sheetData>
    <row r="3" spans="1:13">
      <c r="A3" s="12" t="s">
        <v>42</v>
      </c>
      <c r="B3" t="s">
        <v>44</v>
      </c>
      <c r="H3" s="12" t="s">
        <v>42</v>
      </c>
      <c r="I3" t="s">
        <v>46</v>
      </c>
    </row>
    <row r="4" spans="1:13">
      <c r="A4" s="13">
        <v>45662</v>
      </c>
      <c r="B4" s="14">
        <v>1</v>
      </c>
      <c r="H4" s="13">
        <v>45662</v>
      </c>
      <c r="I4" s="14">
        <v>12000</v>
      </c>
    </row>
    <row r="5" spans="1:13">
      <c r="A5" s="13">
        <v>45665</v>
      </c>
      <c r="B5" s="14">
        <v>1</v>
      </c>
      <c r="H5" s="13">
        <v>45665</v>
      </c>
      <c r="I5" s="14">
        <v>4200</v>
      </c>
      <c r="L5" s="12" t="s">
        <v>42</v>
      </c>
      <c r="M5" t="s">
        <v>44</v>
      </c>
    </row>
    <row r="6" spans="1:13">
      <c r="A6" s="13">
        <v>45669</v>
      </c>
      <c r="B6" s="14">
        <v>1</v>
      </c>
      <c r="H6" s="13">
        <v>45669</v>
      </c>
      <c r="I6" s="14">
        <v>2800</v>
      </c>
      <c r="L6" s="13">
        <v>45662</v>
      </c>
      <c r="M6" s="14">
        <v>1</v>
      </c>
    </row>
    <row r="7" spans="1:13">
      <c r="A7" s="13">
        <v>45675</v>
      </c>
      <c r="B7" s="14">
        <v>1</v>
      </c>
      <c r="D7" s="12" t="s">
        <v>42</v>
      </c>
      <c r="E7" t="s">
        <v>45</v>
      </c>
      <c r="H7" s="13">
        <v>45675</v>
      </c>
      <c r="I7" s="14">
        <v>2300</v>
      </c>
      <c r="L7" s="13">
        <v>45665</v>
      </c>
      <c r="M7" s="14">
        <v>1</v>
      </c>
    </row>
    <row r="8" spans="1:13">
      <c r="A8" s="13">
        <v>45682</v>
      </c>
      <c r="B8" s="14">
        <v>1</v>
      </c>
      <c r="D8" s="13">
        <v>45662</v>
      </c>
      <c r="E8" s="14">
        <v>1</v>
      </c>
      <c r="H8" s="13">
        <v>45682</v>
      </c>
      <c r="I8" s="14">
        <v>2600</v>
      </c>
      <c r="L8" s="13">
        <v>45669</v>
      </c>
      <c r="M8" s="14">
        <v>1</v>
      </c>
    </row>
    <row r="9" spans="1:13">
      <c r="A9" s="13">
        <v>45693</v>
      </c>
      <c r="B9" s="14">
        <v>1</v>
      </c>
      <c r="D9" s="13">
        <v>45665</v>
      </c>
      <c r="E9" s="14">
        <v>1</v>
      </c>
      <c r="H9" s="13">
        <v>45693</v>
      </c>
      <c r="I9" s="14">
        <v>12000</v>
      </c>
      <c r="L9" s="13">
        <v>45675</v>
      </c>
      <c r="M9" s="14">
        <v>1</v>
      </c>
    </row>
    <row r="10" spans="1:13">
      <c r="A10" s="13">
        <v>45697</v>
      </c>
      <c r="B10" s="14">
        <v>1</v>
      </c>
      <c r="D10" s="13">
        <v>45669</v>
      </c>
      <c r="E10" s="14">
        <v>1</v>
      </c>
      <c r="H10" s="13">
        <v>45697</v>
      </c>
      <c r="I10" s="14">
        <v>5100</v>
      </c>
      <c r="L10" s="13">
        <v>45682</v>
      </c>
      <c r="M10" s="14">
        <v>1</v>
      </c>
    </row>
    <row r="11" spans="1:13">
      <c r="A11" s="13">
        <v>45700</v>
      </c>
      <c r="B11" s="14">
        <v>1</v>
      </c>
      <c r="D11" s="13">
        <v>45675</v>
      </c>
      <c r="E11" s="14">
        <v>1</v>
      </c>
      <c r="H11" s="13">
        <v>45700</v>
      </c>
      <c r="I11" s="14">
        <v>3200</v>
      </c>
      <c r="L11" s="13">
        <v>45693</v>
      </c>
      <c r="M11" s="14">
        <v>1</v>
      </c>
    </row>
    <row r="12" spans="1:13">
      <c r="A12" s="13">
        <v>45706</v>
      </c>
      <c r="B12" s="14">
        <v>1</v>
      </c>
      <c r="D12" s="13">
        <v>45682</v>
      </c>
      <c r="E12" s="14">
        <v>1</v>
      </c>
      <c r="H12" s="13">
        <v>45706</v>
      </c>
      <c r="I12" s="14">
        <v>1900</v>
      </c>
      <c r="L12" s="13">
        <v>45697</v>
      </c>
      <c r="M12" s="14">
        <v>1</v>
      </c>
    </row>
    <row r="13" spans="1:13">
      <c r="A13" s="13">
        <v>45712</v>
      </c>
      <c r="B13" s="14">
        <v>1</v>
      </c>
      <c r="D13" s="13">
        <v>45693</v>
      </c>
      <c r="E13" s="14">
        <v>1</v>
      </c>
      <c r="H13" s="13">
        <v>45712</v>
      </c>
      <c r="I13" s="14">
        <v>2400</v>
      </c>
      <c r="L13" s="13">
        <v>45700</v>
      </c>
      <c r="M13" s="14">
        <v>1</v>
      </c>
    </row>
    <row r="14" spans="1:13">
      <c r="A14" s="13">
        <v>45721</v>
      </c>
      <c r="B14" s="14">
        <v>1</v>
      </c>
      <c r="D14" s="13">
        <v>45697</v>
      </c>
      <c r="E14" s="14">
        <v>1</v>
      </c>
      <c r="H14" s="13">
        <v>45721</v>
      </c>
      <c r="I14" s="14">
        <v>12000</v>
      </c>
      <c r="L14" s="13">
        <v>45706</v>
      </c>
      <c r="M14" s="14">
        <v>1</v>
      </c>
    </row>
    <row r="15" spans="1:13">
      <c r="A15" s="13">
        <v>45724</v>
      </c>
      <c r="B15" s="14">
        <v>1</v>
      </c>
      <c r="D15" s="13">
        <v>45700</v>
      </c>
      <c r="E15" s="14">
        <v>1</v>
      </c>
      <c r="H15" s="13">
        <v>45724</v>
      </c>
      <c r="I15" s="14">
        <v>3900</v>
      </c>
      <c r="L15" s="13">
        <v>45712</v>
      </c>
      <c r="M15" s="14">
        <v>1</v>
      </c>
    </row>
    <row r="16" spans="1:13">
      <c r="A16" s="13">
        <v>45730</v>
      </c>
      <c r="B16" s="14">
        <v>1</v>
      </c>
      <c r="D16" s="13">
        <v>45706</v>
      </c>
      <c r="E16" s="14">
        <v>1</v>
      </c>
      <c r="H16" s="13">
        <v>45730</v>
      </c>
      <c r="I16" s="14">
        <v>2600</v>
      </c>
      <c r="L16" s="13">
        <v>45721</v>
      </c>
      <c r="M16" s="14">
        <v>1</v>
      </c>
    </row>
    <row r="17" spans="1:13">
      <c r="A17" s="13">
        <v>45736</v>
      </c>
      <c r="B17" s="14">
        <v>1</v>
      </c>
      <c r="D17" s="13">
        <v>45712</v>
      </c>
      <c r="E17" s="14">
        <v>1</v>
      </c>
      <c r="H17" s="13">
        <v>45736</v>
      </c>
      <c r="I17" s="14">
        <v>1500</v>
      </c>
      <c r="L17" s="13">
        <v>45724</v>
      </c>
      <c r="M17" s="14">
        <v>1</v>
      </c>
    </row>
    <row r="18" spans="1:13">
      <c r="A18" s="13">
        <v>45742</v>
      </c>
      <c r="B18" s="14">
        <v>1</v>
      </c>
      <c r="D18" s="13">
        <v>45721</v>
      </c>
      <c r="E18" s="14">
        <v>1</v>
      </c>
      <c r="H18" s="13">
        <v>45742</v>
      </c>
      <c r="I18" s="14">
        <v>2300</v>
      </c>
      <c r="L18" s="13">
        <v>45730</v>
      </c>
      <c r="M18" s="14">
        <v>1</v>
      </c>
    </row>
    <row r="19" spans="1:13">
      <c r="A19" s="13">
        <v>45752</v>
      </c>
      <c r="B19" s="14">
        <v>1</v>
      </c>
      <c r="D19" s="13">
        <v>45724</v>
      </c>
      <c r="E19" s="14">
        <v>1</v>
      </c>
      <c r="H19" s="13">
        <v>45752</v>
      </c>
      <c r="I19" s="14">
        <v>12000</v>
      </c>
      <c r="L19" s="13">
        <v>45736</v>
      </c>
      <c r="M19" s="14">
        <v>1</v>
      </c>
    </row>
    <row r="20" spans="1:13">
      <c r="A20" s="13">
        <v>45756</v>
      </c>
      <c r="B20" s="14">
        <v>1</v>
      </c>
      <c r="D20" s="13">
        <v>45730</v>
      </c>
      <c r="E20" s="14">
        <v>1</v>
      </c>
      <c r="H20" s="13">
        <v>45756</v>
      </c>
      <c r="I20" s="14">
        <v>4500</v>
      </c>
      <c r="L20" s="13">
        <v>45742</v>
      </c>
      <c r="M20" s="14">
        <v>1</v>
      </c>
    </row>
    <row r="21" spans="1:13">
      <c r="A21" s="13">
        <v>45760</v>
      </c>
      <c r="B21" s="14">
        <v>1</v>
      </c>
      <c r="D21" s="13">
        <v>45736</v>
      </c>
      <c r="E21" s="14">
        <v>1</v>
      </c>
      <c r="H21" s="13">
        <v>45760</v>
      </c>
      <c r="I21" s="14">
        <v>3000</v>
      </c>
      <c r="L21" s="13">
        <v>45752</v>
      </c>
      <c r="M21" s="14">
        <v>1</v>
      </c>
    </row>
    <row r="22" spans="1:13">
      <c r="A22" s="13">
        <v>45766</v>
      </c>
      <c r="B22" s="14">
        <v>1</v>
      </c>
      <c r="D22" s="13">
        <v>45742</v>
      </c>
      <c r="E22" s="14">
        <v>1</v>
      </c>
      <c r="H22" s="13">
        <v>45766</v>
      </c>
      <c r="I22" s="14">
        <v>2200</v>
      </c>
      <c r="L22" s="13">
        <v>45756</v>
      </c>
      <c r="M22" s="14">
        <v>1</v>
      </c>
    </row>
    <row r="23" spans="1:13">
      <c r="A23" s="13">
        <v>45772</v>
      </c>
      <c r="B23" s="14">
        <v>1</v>
      </c>
      <c r="D23" s="13">
        <v>45752</v>
      </c>
      <c r="E23" s="14">
        <v>1</v>
      </c>
      <c r="H23" s="13">
        <v>45772</v>
      </c>
      <c r="I23" s="14">
        <v>2500</v>
      </c>
      <c r="L23" s="13">
        <v>45760</v>
      </c>
      <c r="M23" s="14">
        <v>1</v>
      </c>
    </row>
    <row r="24" spans="1:13">
      <c r="A24" s="13">
        <v>45782</v>
      </c>
      <c r="B24" s="14">
        <v>1</v>
      </c>
      <c r="D24" s="13">
        <v>45756</v>
      </c>
      <c r="E24" s="14">
        <v>1</v>
      </c>
      <c r="H24" s="13">
        <v>45782</v>
      </c>
      <c r="I24" s="14">
        <v>12000</v>
      </c>
      <c r="L24" s="13">
        <v>45766</v>
      </c>
      <c r="M24" s="14">
        <v>1</v>
      </c>
    </row>
    <row r="25" spans="1:13">
      <c r="A25" s="13">
        <v>45785</v>
      </c>
      <c r="B25" s="14">
        <v>1</v>
      </c>
      <c r="D25" s="13">
        <v>45760</v>
      </c>
      <c r="E25" s="14">
        <v>1</v>
      </c>
      <c r="H25" s="13">
        <v>45785</v>
      </c>
      <c r="I25" s="14">
        <v>4800</v>
      </c>
      <c r="L25" s="13">
        <v>45772</v>
      </c>
      <c r="M25" s="14">
        <v>1</v>
      </c>
    </row>
    <row r="26" spans="1:13">
      <c r="A26" s="13">
        <v>45791</v>
      </c>
      <c r="B26" s="14">
        <v>1</v>
      </c>
      <c r="D26" s="13">
        <v>45766</v>
      </c>
      <c r="E26" s="14">
        <v>1</v>
      </c>
      <c r="H26" s="13">
        <v>45791</v>
      </c>
      <c r="I26" s="14">
        <v>2900</v>
      </c>
      <c r="L26" s="13">
        <v>45782</v>
      </c>
      <c r="M26" s="14">
        <v>1</v>
      </c>
    </row>
    <row r="27" spans="1:13">
      <c r="A27" s="13">
        <v>45797</v>
      </c>
      <c r="B27" s="14">
        <v>1</v>
      </c>
      <c r="D27" s="13">
        <v>45772</v>
      </c>
      <c r="E27" s="14">
        <v>1</v>
      </c>
      <c r="H27" s="13">
        <v>45797</v>
      </c>
      <c r="I27" s="14">
        <v>2100</v>
      </c>
      <c r="L27" s="13">
        <v>45785</v>
      </c>
      <c r="M27" s="14">
        <v>1</v>
      </c>
    </row>
    <row r="28" spans="1:13">
      <c r="A28" s="13">
        <v>45803</v>
      </c>
      <c r="B28" s="14">
        <v>1</v>
      </c>
      <c r="D28" s="13">
        <v>45782</v>
      </c>
      <c r="E28" s="14">
        <v>1</v>
      </c>
      <c r="H28" s="13">
        <v>45803</v>
      </c>
      <c r="I28" s="14">
        <v>2600</v>
      </c>
      <c r="L28" s="13">
        <v>45791</v>
      </c>
      <c r="M28" s="14">
        <v>1</v>
      </c>
    </row>
    <row r="29" spans="1:13">
      <c r="A29" s="13">
        <v>45813</v>
      </c>
      <c r="B29" s="14">
        <v>1</v>
      </c>
      <c r="D29" s="13">
        <v>45785</v>
      </c>
      <c r="E29" s="14">
        <v>1</v>
      </c>
      <c r="H29" s="13">
        <v>45813</v>
      </c>
      <c r="I29" s="14">
        <v>12000</v>
      </c>
      <c r="L29" s="13">
        <v>45797</v>
      </c>
      <c r="M29" s="14">
        <v>1</v>
      </c>
    </row>
    <row r="30" spans="1:13">
      <c r="A30" s="13">
        <v>45817</v>
      </c>
      <c r="B30" s="14">
        <v>1</v>
      </c>
      <c r="D30" s="13">
        <v>45791</v>
      </c>
      <c r="E30" s="14">
        <v>1</v>
      </c>
      <c r="H30" s="13">
        <v>45817</v>
      </c>
      <c r="I30" s="14">
        <v>5200</v>
      </c>
      <c r="L30" s="13">
        <v>45803</v>
      </c>
      <c r="M30" s="14">
        <v>1</v>
      </c>
    </row>
    <row r="31" spans="1:13">
      <c r="A31" s="13">
        <v>45821</v>
      </c>
      <c r="B31" s="14">
        <v>1</v>
      </c>
      <c r="D31" s="13">
        <v>45797</v>
      </c>
      <c r="E31" s="14">
        <v>1</v>
      </c>
      <c r="H31" s="13">
        <v>45821</v>
      </c>
      <c r="I31" s="14">
        <v>3300</v>
      </c>
      <c r="L31" s="13">
        <v>45813</v>
      </c>
      <c r="M31" s="14">
        <v>1</v>
      </c>
    </row>
    <row r="32" spans="1:13">
      <c r="A32" s="13">
        <v>45826</v>
      </c>
      <c r="B32" s="14">
        <v>1</v>
      </c>
      <c r="D32" s="13">
        <v>45803</v>
      </c>
      <c r="E32" s="14">
        <v>1</v>
      </c>
      <c r="H32" s="13">
        <v>45826</v>
      </c>
      <c r="I32" s="14">
        <v>2800</v>
      </c>
      <c r="L32" s="13">
        <v>45817</v>
      </c>
      <c r="M32" s="14">
        <v>1</v>
      </c>
    </row>
    <row r="33" spans="1:13">
      <c r="A33" s="13">
        <v>45833</v>
      </c>
      <c r="B33" s="14">
        <v>1</v>
      </c>
      <c r="D33" s="13">
        <v>45813</v>
      </c>
      <c r="E33" s="14">
        <v>1</v>
      </c>
      <c r="H33" s="13">
        <v>45833</v>
      </c>
      <c r="I33" s="14">
        <v>2700</v>
      </c>
      <c r="L33" s="13">
        <v>45821</v>
      </c>
      <c r="M33" s="14">
        <v>1</v>
      </c>
    </row>
    <row r="34" spans="1:13">
      <c r="A34" s="13">
        <v>45843</v>
      </c>
      <c r="B34" s="14">
        <v>1</v>
      </c>
      <c r="D34" s="13">
        <v>45817</v>
      </c>
      <c r="E34" s="14">
        <v>1</v>
      </c>
      <c r="H34" s="13">
        <v>45843</v>
      </c>
      <c r="I34" s="14">
        <v>12000</v>
      </c>
      <c r="L34" s="13">
        <v>45826</v>
      </c>
      <c r="M34" s="14">
        <v>1</v>
      </c>
    </row>
    <row r="35" spans="1:13">
      <c r="A35" s="13">
        <v>45846</v>
      </c>
      <c r="B35" s="14">
        <v>1</v>
      </c>
      <c r="D35" s="13">
        <v>45821</v>
      </c>
      <c r="E35" s="14">
        <v>1</v>
      </c>
      <c r="H35" s="13">
        <v>45846</v>
      </c>
      <c r="I35" s="14">
        <v>4100</v>
      </c>
      <c r="L35" s="13">
        <v>45833</v>
      </c>
      <c r="M35" s="14">
        <v>1</v>
      </c>
    </row>
    <row r="36" spans="1:13">
      <c r="A36" s="13">
        <v>45850</v>
      </c>
      <c r="B36" s="14">
        <v>1</v>
      </c>
      <c r="D36" s="13">
        <v>45826</v>
      </c>
      <c r="E36" s="14">
        <v>1</v>
      </c>
      <c r="H36" s="13">
        <v>45850</v>
      </c>
      <c r="I36" s="14">
        <v>2600</v>
      </c>
      <c r="L36" s="13">
        <v>45843</v>
      </c>
      <c r="M36" s="14">
        <v>1</v>
      </c>
    </row>
    <row r="37" spans="1:13">
      <c r="A37" s="13">
        <v>45857</v>
      </c>
      <c r="B37" s="14">
        <v>1</v>
      </c>
      <c r="D37" s="13">
        <v>45833</v>
      </c>
      <c r="E37" s="14">
        <v>1</v>
      </c>
      <c r="H37" s="13">
        <v>45857</v>
      </c>
      <c r="I37" s="14">
        <v>1800</v>
      </c>
      <c r="L37" s="13">
        <v>45846</v>
      </c>
      <c r="M37" s="14">
        <v>1</v>
      </c>
    </row>
    <row r="38" spans="1:13">
      <c r="A38" s="13">
        <v>45864</v>
      </c>
      <c r="B38" s="14">
        <v>1</v>
      </c>
      <c r="D38" s="13">
        <v>45843</v>
      </c>
      <c r="E38" s="14">
        <v>1</v>
      </c>
      <c r="H38" s="13">
        <v>45864</v>
      </c>
      <c r="I38" s="14">
        <v>2400</v>
      </c>
      <c r="L38" s="13">
        <v>45850</v>
      </c>
      <c r="M38" s="14">
        <v>1</v>
      </c>
    </row>
    <row r="39" spans="1:13">
      <c r="A39" s="13">
        <v>45874</v>
      </c>
      <c r="B39" s="14">
        <v>1</v>
      </c>
      <c r="D39" s="13">
        <v>45846</v>
      </c>
      <c r="E39" s="14">
        <v>1</v>
      </c>
      <c r="H39" s="13">
        <v>45874</v>
      </c>
      <c r="I39" s="14">
        <v>12000</v>
      </c>
      <c r="L39" s="13">
        <v>45857</v>
      </c>
      <c r="M39" s="14">
        <v>1</v>
      </c>
    </row>
    <row r="40" spans="1:13">
      <c r="A40" s="13">
        <v>45878</v>
      </c>
      <c r="B40" s="14">
        <v>1</v>
      </c>
      <c r="D40" s="13">
        <v>45850</v>
      </c>
      <c r="E40" s="14">
        <v>1</v>
      </c>
      <c r="H40" s="13">
        <v>45878</v>
      </c>
      <c r="I40" s="14">
        <v>4700</v>
      </c>
      <c r="L40" s="13">
        <v>45864</v>
      </c>
      <c r="M40" s="14">
        <v>1</v>
      </c>
    </row>
    <row r="41" spans="1:13">
      <c r="A41" s="13">
        <v>45883</v>
      </c>
      <c r="B41" s="14">
        <v>1</v>
      </c>
      <c r="D41" s="13">
        <v>45857</v>
      </c>
      <c r="E41" s="14">
        <v>1</v>
      </c>
      <c r="H41" s="13">
        <v>45883</v>
      </c>
      <c r="I41" s="14">
        <v>3100</v>
      </c>
      <c r="L41" s="13">
        <v>45874</v>
      </c>
      <c r="M41" s="14">
        <v>1</v>
      </c>
    </row>
    <row r="42" spans="1:13">
      <c r="A42" s="13">
        <v>45889</v>
      </c>
      <c r="B42" s="14">
        <v>1</v>
      </c>
      <c r="D42" s="13">
        <v>45864</v>
      </c>
      <c r="E42" s="14">
        <v>1</v>
      </c>
      <c r="H42" s="13">
        <v>45889</v>
      </c>
      <c r="I42" s="14">
        <v>2200</v>
      </c>
      <c r="L42" s="13">
        <v>45878</v>
      </c>
      <c r="M42" s="14">
        <v>1</v>
      </c>
    </row>
    <row r="43" spans="1:13">
      <c r="A43" s="13">
        <v>45895</v>
      </c>
      <c r="B43" s="14">
        <v>1</v>
      </c>
      <c r="D43" s="13">
        <v>45874</v>
      </c>
      <c r="E43" s="14">
        <v>1</v>
      </c>
      <c r="H43" s="13">
        <v>45895</v>
      </c>
      <c r="I43" s="14">
        <v>2500</v>
      </c>
      <c r="L43" s="13">
        <v>45883</v>
      </c>
      <c r="M43" s="14">
        <v>1</v>
      </c>
    </row>
    <row r="44" spans="1:13">
      <c r="A44" s="13">
        <v>45905</v>
      </c>
      <c r="B44" s="14">
        <v>1</v>
      </c>
      <c r="D44" s="13">
        <v>45878</v>
      </c>
      <c r="E44" s="14">
        <v>1</v>
      </c>
      <c r="H44" s="13">
        <v>45905</v>
      </c>
      <c r="I44" s="14">
        <v>12000</v>
      </c>
      <c r="L44" s="13">
        <v>45889</v>
      </c>
      <c r="M44" s="14">
        <v>1</v>
      </c>
    </row>
    <row r="45" spans="1:13">
      <c r="A45" s="13">
        <v>45908</v>
      </c>
      <c r="B45" s="14">
        <v>1</v>
      </c>
      <c r="D45" s="13">
        <v>45883</v>
      </c>
      <c r="E45" s="14">
        <v>1</v>
      </c>
      <c r="H45" s="13">
        <v>45908</v>
      </c>
      <c r="I45" s="14">
        <v>4300</v>
      </c>
      <c r="L45" s="13">
        <v>45895</v>
      </c>
      <c r="M45" s="14">
        <v>1</v>
      </c>
    </row>
    <row r="46" spans="1:13">
      <c r="A46" s="13">
        <v>45913</v>
      </c>
      <c r="B46" s="14">
        <v>1</v>
      </c>
      <c r="D46" s="13">
        <v>45889</v>
      </c>
      <c r="E46" s="14">
        <v>1</v>
      </c>
      <c r="H46" s="13">
        <v>45913</v>
      </c>
      <c r="I46" s="14">
        <v>2700</v>
      </c>
      <c r="L46" s="13">
        <v>45905</v>
      </c>
      <c r="M46" s="14">
        <v>1</v>
      </c>
    </row>
    <row r="47" spans="1:13">
      <c r="A47" s="13">
        <v>45918</v>
      </c>
      <c r="B47" s="14">
        <v>1</v>
      </c>
      <c r="D47" s="13">
        <v>45895</v>
      </c>
      <c r="E47" s="14">
        <v>1</v>
      </c>
      <c r="H47" s="13">
        <v>45918</v>
      </c>
      <c r="I47" s="14">
        <v>2000</v>
      </c>
      <c r="L47" s="13">
        <v>45908</v>
      </c>
      <c r="M47" s="14">
        <v>1</v>
      </c>
    </row>
    <row r="48" spans="1:13">
      <c r="A48" s="13">
        <v>45925</v>
      </c>
      <c r="B48" s="14">
        <v>1</v>
      </c>
      <c r="D48" s="13">
        <v>45905</v>
      </c>
      <c r="E48" s="14">
        <v>1</v>
      </c>
      <c r="H48" s="13">
        <v>45925</v>
      </c>
      <c r="I48" s="14">
        <v>2400</v>
      </c>
      <c r="L48" s="13">
        <v>45913</v>
      </c>
      <c r="M48" s="14">
        <v>1</v>
      </c>
    </row>
    <row r="49" spans="1:13">
      <c r="A49" s="13">
        <v>45935</v>
      </c>
      <c r="B49" s="14">
        <v>1</v>
      </c>
      <c r="D49" s="13">
        <v>45908</v>
      </c>
      <c r="E49" s="14">
        <v>1</v>
      </c>
      <c r="H49" s="13">
        <v>45935</v>
      </c>
      <c r="I49" s="14">
        <v>12000</v>
      </c>
      <c r="L49" s="13">
        <v>45918</v>
      </c>
      <c r="M49" s="14">
        <v>1</v>
      </c>
    </row>
    <row r="50" spans="1:13">
      <c r="A50" s="13">
        <v>45939</v>
      </c>
      <c r="B50" s="14">
        <v>1</v>
      </c>
      <c r="D50" s="13">
        <v>45913</v>
      </c>
      <c r="E50" s="14">
        <v>1</v>
      </c>
      <c r="H50" s="13">
        <v>45939</v>
      </c>
      <c r="I50" s="14">
        <v>5000</v>
      </c>
      <c r="L50" s="13">
        <v>45925</v>
      </c>
      <c r="M50" s="14">
        <v>1</v>
      </c>
    </row>
    <row r="51" spans="1:13">
      <c r="A51" s="13">
        <v>45944</v>
      </c>
      <c r="B51" s="14">
        <v>1</v>
      </c>
      <c r="D51" s="13">
        <v>45918</v>
      </c>
      <c r="E51" s="14">
        <v>1</v>
      </c>
      <c r="H51" s="13">
        <v>45944</v>
      </c>
      <c r="I51" s="14">
        <v>3200</v>
      </c>
      <c r="L51" s="13">
        <v>45935</v>
      </c>
      <c r="M51" s="14">
        <v>1</v>
      </c>
    </row>
    <row r="52" spans="1:13">
      <c r="A52" s="13">
        <v>45950</v>
      </c>
      <c r="B52" s="14">
        <v>1</v>
      </c>
      <c r="D52" s="13">
        <v>45925</v>
      </c>
      <c r="E52" s="14">
        <v>1</v>
      </c>
      <c r="H52" s="13">
        <v>45950</v>
      </c>
      <c r="I52" s="14">
        <v>3500</v>
      </c>
      <c r="L52" s="13">
        <v>45939</v>
      </c>
      <c r="M52" s="14">
        <v>1</v>
      </c>
    </row>
    <row r="53" spans="1:13">
      <c r="A53" s="13">
        <v>45956</v>
      </c>
      <c r="B53" s="14">
        <v>1</v>
      </c>
      <c r="D53" s="13">
        <v>45935</v>
      </c>
      <c r="E53" s="14">
        <v>1</v>
      </c>
      <c r="H53" s="13">
        <v>45956</v>
      </c>
      <c r="I53" s="14">
        <v>2800</v>
      </c>
      <c r="L53" s="13">
        <v>45944</v>
      </c>
      <c r="M53" s="14">
        <v>1</v>
      </c>
    </row>
    <row r="54" spans="1:13">
      <c r="A54" s="13">
        <v>45966</v>
      </c>
      <c r="B54" s="14">
        <v>1</v>
      </c>
      <c r="D54" s="13">
        <v>45939</v>
      </c>
      <c r="E54" s="14">
        <v>1</v>
      </c>
      <c r="H54" s="13">
        <v>45966</v>
      </c>
      <c r="I54" s="14">
        <v>12000</v>
      </c>
      <c r="L54" s="13">
        <v>45950</v>
      </c>
      <c r="M54" s="14">
        <v>1</v>
      </c>
    </row>
    <row r="55" spans="1:13">
      <c r="A55" s="13">
        <v>45969</v>
      </c>
      <c r="B55" s="14">
        <v>1</v>
      </c>
      <c r="D55" s="13">
        <v>45944</v>
      </c>
      <c r="E55" s="14">
        <v>1</v>
      </c>
      <c r="H55" s="13">
        <v>45969</v>
      </c>
      <c r="I55" s="14">
        <v>4600</v>
      </c>
      <c r="L55" s="13">
        <v>45956</v>
      </c>
      <c r="M55" s="14">
        <v>1</v>
      </c>
    </row>
    <row r="56" spans="1:13">
      <c r="A56" s="13">
        <v>45974</v>
      </c>
      <c r="B56" s="14">
        <v>1</v>
      </c>
      <c r="D56" s="13">
        <v>45950</v>
      </c>
      <c r="E56" s="14">
        <v>1</v>
      </c>
      <c r="H56" s="13">
        <v>45974</v>
      </c>
      <c r="I56" s="14">
        <v>3000</v>
      </c>
      <c r="L56" s="13">
        <v>45966</v>
      </c>
      <c r="M56" s="14">
        <v>1</v>
      </c>
    </row>
    <row r="57" spans="1:13">
      <c r="A57" s="13">
        <v>45980</v>
      </c>
      <c r="B57" s="14">
        <v>1</v>
      </c>
      <c r="D57" s="13">
        <v>45956</v>
      </c>
      <c r="E57" s="14">
        <v>1</v>
      </c>
      <c r="H57" s="13">
        <v>45980</v>
      </c>
      <c r="I57" s="14">
        <v>2100</v>
      </c>
      <c r="L57" s="13">
        <v>45969</v>
      </c>
      <c r="M57" s="14">
        <v>1</v>
      </c>
    </row>
    <row r="58" spans="1:13">
      <c r="A58" s="13">
        <v>45986</v>
      </c>
      <c r="B58" s="14">
        <v>1</v>
      </c>
      <c r="D58" s="13">
        <v>45966</v>
      </c>
      <c r="E58" s="14">
        <v>1</v>
      </c>
      <c r="H58" s="13">
        <v>45986</v>
      </c>
      <c r="I58" s="14">
        <v>2600</v>
      </c>
      <c r="L58" s="13">
        <v>45974</v>
      </c>
      <c r="M58" s="14">
        <v>1</v>
      </c>
    </row>
    <row r="59" spans="1:13">
      <c r="A59" s="13">
        <v>45996</v>
      </c>
      <c r="B59" s="14">
        <v>1</v>
      </c>
      <c r="D59" s="13">
        <v>45969</v>
      </c>
      <c r="E59" s="14">
        <v>1</v>
      </c>
      <c r="H59" s="13">
        <v>45996</v>
      </c>
      <c r="I59" s="14">
        <v>12000</v>
      </c>
      <c r="L59" s="13">
        <v>45980</v>
      </c>
      <c r="M59" s="14">
        <v>1</v>
      </c>
    </row>
    <row r="60" spans="1:13">
      <c r="A60" s="13">
        <v>46000</v>
      </c>
      <c r="B60" s="14">
        <v>1</v>
      </c>
      <c r="D60" s="13">
        <v>45974</v>
      </c>
      <c r="E60" s="14">
        <v>1</v>
      </c>
      <c r="H60" s="13">
        <v>46000</v>
      </c>
      <c r="I60" s="14">
        <v>5400</v>
      </c>
      <c r="L60" s="13">
        <v>45986</v>
      </c>
      <c r="M60" s="14">
        <v>1</v>
      </c>
    </row>
    <row r="61" spans="1:13">
      <c r="A61" s="13">
        <v>46005</v>
      </c>
      <c r="B61" s="14">
        <v>1</v>
      </c>
      <c r="D61" s="13">
        <v>45980</v>
      </c>
      <c r="E61" s="14">
        <v>1</v>
      </c>
      <c r="H61" s="13">
        <v>46005</v>
      </c>
      <c r="I61" s="14">
        <v>3600</v>
      </c>
      <c r="L61" s="13">
        <v>45996</v>
      </c>
      <c r="M61" s="14">
        <v>1</v>
      </c>
    </row>
    <row r="62" spans="1:13">
      <c r="A62" s="13">
        <v>46011</v>
      </c>
      <c r="B62" s="14">
        <v>1</v>
      </c>
      <c r="D62" s="13">
        <v>45986</v>
      </c>
      <c r="E62" s="14">
        <v>1</v>
      </c>
      <c r="H62" s="13">
        <v>46011</v>
      </c>
      <c r="I62" s="14">
        <v>4000</v>
      </c>
      <c r="L62" s="13">
        <v>46000</v>
      </c>
      <c r="M62" s="14">
        <v>1</v>
      </c>
    </row>
    <row r="63" spans="1:13">
      <c r="A63" s="13">
        <v>46017</v>
      </c>
      <c r="B63" s="14">
        <v>1</v>
      </c>
      <c r="D63" s="13">
        <v>45996</v>
      </c>
      <c r="E63" s="14">
        <v>1</v>
      </c>
      <c r="H63" s="13">
        <v>46017</v>
      </c>
      <c r="I63" s="14">
        <v>3000</v>
      </c>
      <c r="L63" s="13">
        <v>46005</v>
      </c>
      <c r="M63" s="14">
        <v>1</v>
      </c>
    </row>
    <row r="64" spans="1:13">
      <c r="A64" s="13" t="s">
        <v>43</v>
      </c>
      <c r="B64" s="14">
        <v>60</v>
      </c>
      <c r="D64" s="13">
        <v>46000</v>
      </c>
      <c r="E64" s="14">
        <v>1</v>
      </c>
      <c r="H64" s="13" t="s">
        <v>43</v>
      </c>
      <c r="I64" s="14">
        <v>295000</v>
      </c>
      <c r="L64" s="13">
        <v>46011</v>
      </c>
      <c r="M64" s="14">
        <v>1</v>
      </c>
    </row>
    <row r="65" spans="4:13">
      <c r="D65" s="13">
        <v>46005</v>
      </c>
      <c r="E65" s="14">
        <v>1</v>
      </c>
      <c r="L65" s="13">
        <v>46017</v>
      </c>
      <c r="M65" s="14">
        <v>1</v>
      </c>
    </row>
    <row r="66" spans="4:13">
      <c r="D66" s="13">
        <v>46011</v>
      </c>
      <c r="E66" s="14">
        <v>1</v>
      </c>
      <c r="L66" s="13" t="s">
        <v>43</v>
      </c>
      <c r="M66" s="14">
        <v>60</v>
      </c>
    </row>
    <row r="67" spans="4:13">
      <c r="D67" s="13">
        <v>46017</v>
      </c>
      <c r="E67" s="14">
        <v>1</v>
      </c>
    </row>
    <row r="68" spans="4:13">
      <c r="D68" s="13" t="s">
        <v>43</v>
      </c>
      <c r="E68" s="14">
        <v>60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1"/>
  <sheetViews>
    <sheetView workbookViewId="0">
      <selection activeCell="H6" sqref="H6"/>
    </sheetView>
  </sheetViews>
  <sheetFormatPr defaultRowHeight="14.25"/>
  <cols>
    <col min="1" max="1" width="12.5" customWidth="1"/>
    <col min="5" max="5" width="14" customWidth="1"/>
    <col min="8" max="8" width="31.25" customWidth="1"/>
  </cols>
  <sheetData>
    <row r="1" spans="1:8" ht="15.75">
      <c r="A1" s="1" t="s">
        <v>0</v>
      </c>
      <c r="B1" s="2" t="s">
        <v>1</v>
      </c>
      <c r="C1" s="2" t="s">
        <v>2</v>
      </c>
      <c r="D1" s="2" t="s">
        <v>3</v>
      </c>
      <c r="E1" s="2" t="s">
        <v>4</v>
      </c>
    </row>
    <row r="2" spans="1:8">
      <c r="A2" s="9">
        <v>45662</v>
      </c>
      <c r="B2" s="6" t="s">
        <v>5</v>
      </c>
      <c r="C2" s="6" t="s">
        <v>6</v>
      </c>
      <c r="D2" s="6" t="s">
        <v>7</v>
      </c>
      <c r="E2" s="6">
        <v>12000</v>
      </c>
    </row>
    <row r="3" spans="1:8">
      <c r="A3" s="10">
        <v>45665</v>
      </c>
      <c r="B3" s="7" t="s">
        <v>5</v>
      </c>
      <c r="C3" s="7" t="s">
        <v>8</v>
      </c>
      <c r="D3" s="7" t="s">
        <v>9</v>
      </c>
      <c r="E3" s="7">
        <v>4200</v>
      </c>
    </row>
    <row r="4" spans="1:8">
      <c r="A4" s="9">
        <v>45669</v>
      </c>
      <c r="B4" s="6" t="s">
        <v>5</v>
      </c>
      <c r="C4" s="6" t="s">
        <v>10</v>
      </c>
      <c r="D4" s="6" t="s">
        <v>11</v>
      </c>
      <c r="E4" s="6">
        <v>2800</v>
      </c>
    </row>
    <row r="5" spans="1:8" ht="15">
      <c r="A5" s="10">
        <v>45675</v>
      </c>
      <c r="B5" s="7" t="s">
        <v>5</v>
      </c>
      <c r="C5" s="7" t="s">
        <v>13</v>
      </c>
      <c r="D5" s="7" t="s">
        <v>14</v>
      </c>
      <c r="E5" s="7">
        <v>2300</v>
      </c>
      <c r="H5" s="3" t="s">
        <v>12</v>
      </c>
    </row>
    <row r="6" spans="1:8">
      <c r="A6" s="9">
        <v>45682</v>
      </c>
      <c r="B6" s="6" t="s">
        <v>5</v>
      </c>
      <c r="C6" s="6" t="s">
        <v>15</v>
      </c>
      <c r="D6" s="6" t="s">
        <v>16</v>
      </c>
      <c r="E6" s="6">
        <v>2600</v>
      </c>
      <c r="H6" s="4">
        <f>SUM(E3:E62)</f>
        <v>283000</v>
      </c>
    </row>
    <row r="7" spans="1:8">
      <c r="A7" s="10">
        <v>45693</v>
      </c>
      <c r="B7" s="7" t="s">
        <v>17</v>
      </c>
      <c r="C7" s="7" t="s">
        <v>6</v>
      </c>
      <c r="D7" s="7" t="s">
        <v>7</v>
      </c>
      <c r="E7" s="7">
        <v>12000</v>
      </c>
    </row>
    <row r="8" spans="1:8">
      <c r="A8" s="9">
        <v>45697</v>
      </c>
      <c r="B8" s="6" t="s">
        <v>17</v>
      </c>
      <c r="C8" s="6" t="s">
        <v>8</v>
      </c>
      <c r="D8" s="6" t="s">
        <v>9</v>
      </c>
      <c r="E8" s="6">
        <v>5100</v>
      </c>
    </row>
    <row r="9" spans="1:8">
      <c r="A9" s="10">
        <v>45700</v>
      </c>
      <c r="B9" s="7" t="s">
        <v>17</v>
      </c>
      <c r="C9" s="7" t="s">
        <v>10</v>
      </c>
      <c r="D9" s="7" t="s">
        <v>11</v>
      </c>
      <c r="E9" s="7">
        <v>3200</v>
      </c>
    </row>
    <row r="10" spans="1:8" ht="15">
      <c r="A10" s="9">
        <v>45706</v>
      </c>
      <c r="B10" s="6" t="s">
        <v>17</v>
      </c>
      <c r="C10" s="6" t="s">
        <v>13</v>
      </c>
      <c r="D10" s="6" t="s">
        <v>14</v>
      </c>
      <c r="E10" s="6">
        <v>1900</v>
      </c>
      <c r="H10" s="2" t="s">
        <v>18</v>
      </c>
    </row>
    <row r="11" spans="1:8">
      <c r="A11" s="10">
        <v>45712</v>
      </c>
      <c r="B11" s="7" t="s">
        <v>17</v>
      </c>
      <c r="C11" s="7" t="s">
        <v>15</v>
      </c>
      <c r="D11" s="7" t="s">
        <v>19</v>
      </c>
      <c r="E11" s="7">
        <v>2400</v>
      </c>
      <c r="H11" s="4">
        <f>SUMIF(C:C,"food",E:E)</f>
        <v>55800</v>
      </c>
    </row>
    <row r="12" spans="1:8">
      <c r="A12" s="9">
        <v>45721</v>
      </c>
      <c r="B12" s="6" t="s">
        <v>20</v>
      </c>
      <c r="C12" s="6" t="s">
        <v>6</v>
      </c>
      <c r="D12" s="6" t="s">
        <v>7</v>
      </c>
      <c r="E12" s="6">
        <v>12000</v>
      </c>
    </row>
    <row r="13" spans="1:8">
      <c r="A13" s="10">
        <v>45724</v>
      </c>
      <c r="B13" s="7" t="s">
        <v>20</v>
      </c>
      <c r="C13" s="7" t="s">
        <v>8</v>
      </c>
      <c r="D13" s="7" t="s">
        <v>9</v>
      </c>
      <c r="E13" s="7">
        <v>3900</v>
      </c>
    </row>
    <row r="14" spans="1:8" ht="15">
      <c r="A14" s="9">
        <v>45730</v>
      </c>
      <c r="B14" s="6" t="s">
        <v>20</v>
      </c>
      <c r="C14" s="6" t="s">
        <v>10</v>
      </c>
      <c r="D14" s="6" t="s">
        <v>22</v>
      </c>
      <c r="E14" s="6">
        <v>2600</v>
      </c>
      <c r="H14" s="2" t="s">
        <v>21</v>
      </c>
    </row>
    <row r="15" spans="1:8">
      <c r="A15" s="10">
        <v>45736</v>
      </c>
      <c r="B15" s="7" t="s">
        <v>20</v>
      </c>
      <c r="C15" s="7" t="s">
        <v>13</v>
      </c>
      <c r="D15" s="7" t="s">
        <v>23</v>
      </c>
      <c r="E15" s="7">
        <v>1500</v>
      </c>
      <c r="H15" s="4">
        <f>AVERAGE(E3:E62)</f>
        <v>4796.6101694915251</v>
      </c>
    </row>
    <row r="16" spans="1:8">
      <c r="A16" s="9">
        <v>45742</v>
      </c>
      <c r="B16" s="6" t="s">
        <v>20</v>
      </c>
      <c r="C16" s="6" t="s">
        <v>15</v>
      </c>
      <c r="D16" s="6" t="s">
        <v>16</v>
      </c>
      <c r="E16" s="6">
        <v>2300</v>
      </c>
    </row>
    <row r="17" spans="1:8">
      <c r="A17" s="10">
        <v>45752</v>
      </c>
      <c r="B17" s="7" t="s">
        <v>24</v>
      </c>
      <c r="C17" s="7" t="s">
        <v>6</v>
      </c>
      <c r="D17" s="7" t="s">
        <v>7</v>
      </c>
      <c r="E17" s="7">
        <v>12000</v>
      </c>
    </row>
    <row r="18" spans="1:8">
      <c r="A18" s="9">
        <v>45756</v>
      </c>
      <c r="B18" s="6" t="s">
        <v>24</v>
      </c>
      <c r="C18" s="6" t="s">
        <v>8</v>
      </c>
      <c r="D18" s="6" t="s">
        <v>9</v>
      </c>
      <c r="E18" s="6">
        <v>4500</v>
      </c>
      <c r="H18" s="5" t="s">
        <v>25</v>
      </c>
    </row>
    <row r="19" spans="1:8">
      <c r="A19" s="10">
        <v>45760</v>
      </c>
      <c r="B19" s="7" t="s">
        <v>24</v>
      </c>
      <c r="C19" s="7" t="s">
        <v>10</v>
      </c>
      <c r="D19" s="7" t="s">
        <v>26</v>
      </c>
      <c r="E19" s="7">
        <v>3000</v>
      </c>
      <c r="H19" s="4">
        <f>SUMIF(B:B,"January",E:E)</f>
        <v>23900</v>
      </c>
    </row>
    <row r="20" spans="1:8">
      <c r="A20" s="9">
        <v>45766</v>
      </c>
      <c r="B20" s="6" t="s">
        <v>24</v>
      </c>
      <c r="C20" s="6" t="s">
        <v>13</v>
      </c>
      <c r="D20" s="6" t="s">
        <v>14</v>
      </c>
      <c r="E20" s="6">
        <v>2200</v>
      </c>
    </row>
    <row r="21" spans="1:8">
      <c r="A21" s="10">
        <v>45772</v>
      </c>
      <c r="B21" s="7" t="s">
        <v>24</v>
      </c>
      <c r="C21" s="7" t="s">
        <v>15</v>
      </c>
      <c r="D21" s="7" t="s">
        <v>16</v>
      </c>
      <c r="E21" s="7">
        <v>2500</v>
      </c>
    </row>
    <row r="22" spans="1:8">
      <c r="A22" s="9">
        <v>45782</v>
      </c>
      <c r="B22" s="6" t="s">
        <v>28</v>
      </c>
      <c r="C22" s="6" t="s">
        <v>6</v>
      </c>
      <c r="D22" s="6" t="s">
        <v>7</v>
      </c>
      <c r="E22" s="6">
        <v>12000</v>
      </c>
      <c r="H22" s="5" t="s">
        <v>27</v>
      </c>
    </row>
    <row r="23" spans="1:8">
      <c r="A23" s="10">
        <v>45785</v>
      </c>
      <c r="B23" s="7" t="s">
        <v>28</v>
      </c>
      <c r="C23" s="7" t="s">
        <v>8</v>
      </c>
      <c r="D23" s="7" t="s">
        <v>9</v>
      </c>
      <c r="E23" s="7">
        <v>4800</v>
      </c>
      <c r="H23" s="4">
        <f>SUMIFS(E:E,B:B,"January",C:C,"Food")</f>
        <v>4200</v>
      </c>
    </row>
    <row r="24" spans="1:8">
      <c r="A24" s="9">
        <v>45791</v>
      </c>
      <c r="B24" s="6" t="s">
        <v>28</v>
      </c>
      <c r="C24" s="6" t="s">
        <v>10</v>
      </c>
      <c r="D24" s="6" t="s">
        <v>26</v>
      </c>
      <c r="E24" s="6">
        <v>2900</v>
      </c>
    </row>
    <row r="25" spans="1:8">
      <c r="A25" s="10">
        <v>45797</v>
      </c>
      <c r="B25" s="7" t="s">
        <v>28</v>
      </c>
      <c r="C25" s="7" t="s">
        <v>13</v>
      </c>
      <c r="D25" s="7" t="s">
        <v>29</v>
      </c>
      <c r="E25" s="7">
        <v>2100</v>
      </c>
    </row>
    <row r="26" spans="1:8">
      <c r="A26" s="9">
        <v>45803</v>
      </c>
      <c r="B26" s="6" t="s">
        <v>28</v>
      </c>
      <c r="C26" s="6" t="s">
        <v>15</v>
      </c>
      <c r="D26" s="6" t="s">
        <v>16</v>
      </c>
      <c r="E26" s="6">
        <v>2600</v>
      </c>
    </row>
    <row r="27" spans="1:8">
      <c r="A27" s="10">
        <v>45813</v>
      </c>
      <c r="B27" s="7" t="s">
        <v>30</v>
      </c>
      <c r="C27" s="7" t="s">
        <v>6</v>
      </c>
      <c r="D27" s="7" t="s">
        <v>7</v>
      </c>
      <c r="E27" s="7">
        <v>12000</v>
      </c>
    </row>
    <row r="28" spans="1:8">
      <c r="A28" s="9">
        <v>45817</v>
      </c>
      <c r="B28" s="6" t="s">
        <v>30</v>
      </c>
      <c r="C28" s="6" t="s">
        <v>8</v>
      </c>
      <c r="D28" s="6" t="s">
        <v>9</v>
      </c>
      <c r="E28" s="6">
        <v>5200</v>
      </c>
      <c r="H28" s="5" t="s">
        <v>31</v>
      </c>
    </row>
    <row r="29" spans="1:8">
      <c r="A29" s="10">
        <v>45821</v>
      </c>
      <c r="B29" s="7" t="s">
        <v>30</v>
      </c>
      <c r="C29" s="7" t="s">
        <v>10</v>
      </c>
      <c r="D29" s="7" t="s">
        <v>26</v>
      </c>
      <c r="E29" s="7">
        <v>3300</v>
      </c>
      <c r="H29" s="4">
        <f>AVERAGEIF(B:B,"January",E:E)</f>
        <v>4780</v>
      </c>
    </row>
    <row r="30" spans="1:8">
      <c r="A30" s="9">
        <v>45826</v>
      </c>
      <c r="B30" s="6" t="s">
        <v>30</v>
      </c>
      <c r="C30" s="6" t="s">
        <v>13</v>
      </c>
      <c r="D30" s="6" t="s">
        <v>32</v>
      </c>
      <c r="E30" s="6">
        <v>2800</v>
      </c>
    </row>
    <row r="31" spans="1:8">
      <c r="A31" s="10">
        <v>45833</v>
      </c>
      <c r="B31" s="7" t="s">
        <v>30</v>
      </c>
      <c r="C31" s="7" t="s">
        <v>15</v>
      </c>
      <c r="D31" s="7" t="s">
        <v>16</v>
      </c>
      <c r="E31" s="7">
        <v>2700</v>
      </c>
    </row>
    <row r="32" spans="1:8">
      <c r="A32" s="9">
        <v>45843</v>
      </c>
      <c r="B32" s="6" t="s">
        <v>33</v>
      </c>
      <c r="C32" s="6" t="s">
        <v>6</v>
      </c>
      <c r="D32" s="6" t="s">
        <v>7</v>
      </c>
      <c r="E32" s="6">
        <v>12000</v>
      </c>
    </row>
    <row r="33" spans="1:5">
      <c r="A33" s="10">
        <v>45846</v>
      </c>
      <c r="B33" s="7" t="s">
        <v>33</v>
      </c>
      <c r="C33" s="7" t="s">
        <v>8</v>
      </c>
      <c r="D33" s="7" t="s">
        <v>9</v>
      </c>
      <c r="E33" s="7">
        <v>4100</v>
      </c>
    </row>
    <row r="34" spans="1:5">
      <c r="A34" s="9">
        <v>45850</v>
      </c>
      <c r="B34" s="6" t="s">
        <v>33</v>
      </c>
      <c r="C34" s="6" t="s">
        <v>10</v>
      </c>
      <c r="D34" s="6" t="s">
        <v>22</v>
      </c>
      <c r="E34" s="6">
        <v>2600</v>
      </c>
    </row>
    <row r="35" spans="1:5">
      <c r="A35" s="10">
        <v>45857</v>
      </c>
      <c r="B35" s="7" t="s">
        <v>33</v>
      </c>
      <c r="C35" s="7" t="s">
        <v>13</v>
      </c>
      <c r="D35" s="7" t="s">
        <v>14</v>
      </c>
      <c r="E35" s="7">
        <v>1800</v>
      </c>
    </row>
    <row r="36" spans="1:5">
      <c r="A36" s="9">
        <v>45864</v>
      </c>
      <c r="B36" s="6" t="s">
        <v>33</v>
      </c>
      <c r="C36" s="6" t="s">
        <v>15</v>
      </c>
      <c r="D36" s="6" t="s">
        <v>16</v>
      </c>
      <c r="E36" s="6">
        <v>2400</v>
      </c>
    </row>
    <row r="37" spans="1:5">
      <c r="A37" s="10">
        <v>45874</v>
      </c>
      <c r="B37" s="7" t="s">
        <v>34</v>
      </c>
      <c r="C37" s="7" t="s">
        <v>6</v>
      </c>
      <c r="D37" s="7" t="s">
        <v>7</v>
      </c>
      <c r="E37" s="7">
        <v>12000</v>
      </c>
    </row>
    <row r="38" spans="1:5">
      <c r="A38" s="9">
        <v>45878</v>
      </c>
      <c r="B38" s="6" t="s">
        <v>34</v>
      </c>
      <c r="C38" s="6" t="s">
        <v>8</v>
      </c>
      <c r="D38" s="6" t="s">
        <v>9</v>
      </c>
      <c r="E38" s="6">
        <v>4700</v>
      </c>
    </row>
    <row r="39" spans="1:5">
      <c r="A39" s="10">
        <v>45883</v>
      </c>
      <c r="B39" s="7" t="s">
        <v>34</v>
      </c>
      <c r="C39" s="7" t="s">
        <v>10</v>
      </c>
      <c r="D39" s="7" t="s">
        <v>26</v>
      </c>
      <c r="E39" s="7">
        <v>3100</v>
      </c>
    </row>
    <row r="40" spans="1:5">
      <c r="A40" s="9">
        <v>45889</v>
      </c>
      <c r="B40" s="6" t="s">
        <v>34</v>
      </c>
      <c r="C40" s="6" t="s">
        <v>13</v>
      </c>
      <c r="D40" s="6" t="s">
        <v>29</v>
      </c>
      <c r="E40" s="6">
        <v>2200</v>
      </c>
    </row>
    <row r="41" spans="1:5">
      <c r="A41" s="10">
        <v>45895</v>
      </c>
      <c r="B41" s="7" t="s">
        <v>34</v>
      </c>
      <c r="C41" s="7" t="s">
        <v>15</v>
      </c>
      <c r="D41" s="7" t="s">
        <v>16</v>
      </c>
      <c r="E41" s="7">
        <v>2500</v>
      </c>
    </row>
    <row r="42" spans="1:5">
      <c r="A42" s="9">
        <v>45905</v>
      </c>
      <c r="B42" s="6" t="s">
        <v>35</v>
      </c>
      <c r="C42" s="6" t="s">
        <v>6</v>
      </c>
      <c r="D42" s="6" t="s">
        <v>7</v>
      </c>
      <c r="E42" s="6">
        <v>12000</v>
      </c>
    </row>
    <row r="43" spans="1:5">
      <c r="A43" s="10">
        <v>45908</v>
      </c>
      <c r="B43" s="7" t="s">
        <v>35</v>
      </c>
      <c r="C43" s="7" t="s">
        <v>8</v>
      </c>
      <c r="D43" s="7" t="s">
        <v>9</v>
      </c>
      <c r="E43" s="7">
        <v>4300</v>
      </c>
    </row>
    <row r="44" spans="1:5">
      <c r="A44" s="9">
        <v>45913</v>
      </c>
      <c r="B44" s="6" t="s">
        <v>35</v>
      </c>
      <c r="C44" s="6" t="s">
        <v>10</v>
      </c>
      <c r="D44" s="6" t="s">
        <v>22</v>
      </c>
      <c r="E44" s="6">
        <v>2700</v>
      </c>
    </row>
    <row r="45" spans="1:5">
      <c r="A45" s="10">
        <v>45918</v>
      </c>
      <c r="B45" s="7" t="s">
        <v>35</v>
      </c>
      <c r="C45" s="7" t="s">
        <v>13</v>
      </c>
      <c r="D45" s="7" t="s">
        <v>23</v>
      </c>
      <c r="E45" s="7">
        <v>2000</v>
      </c>
    </row>
    <row r="46" spans="1:5">
      <c r="A46" s="9">
        <v>45925</v>
      </c>
      <c r="B46" s="6" t="s">
        <v>35</v>
      </c>
      <c r="C46" s="6" t="s">
        <v>15</v>
      </c>
      <c r="D46" s="6" t="s">
        <v>16</v>
      </c>
      <c r="E46" s="6">
        <v>2400</v>
      </c>
    </row>
    <row r="47" spans="1:5">
      <c r="A47" s="10">
        <v>45935</v>
      </c>
      <c r="B47" s="7" t="s">
        <v>36</v>
      </c>
      <c r="C47" s="7" t="s">
        <v>6</v>
      </c>
      <c r="D47" s="7" t="s">
        <v>7</v>
      </c>
      <c r="E47" s="7">
        <v>12000</v>
      </c>
    </row>
    <row r="48" spans="1:5">
      <c r="A48" s="9">
        <v>45939</v>
      </c>
      <c r="B48" s="6" t="s">
        <v>36</v>
      </c>
      <c r="C48" s="6" t="s">
        <v>8</v>
      </c>
      <c r="D48" s="6" t="s">
        <v>9</v>
      </c>
      <c r="E48" s="6">
        <v>5000</v>
      </c>
    </row>
    <row r="49" spans="1:5">
      <c r="A49" s="10">
        <v>45944</v>
      </c>
      <c r="B49" s="7" t="s">
        <v>36</v>
      </c>
      <c r="C49" s="7" t="s">
        <v>10</v>
      </c>
      <c r="D49" s="7" t="s">
        <v>26</v>
      </c>
      <c r="E49" s="7">
        <v>3200</v>
      </c>
    </row>
    <row r="50" spans="1:5">
      <c r="A50" s="9">
        <v>45950</v>
      </c>
      <c r="B50" s="6" t="s">
        <v>36</v>
      </c>
      <c r="C50" s="6" t="s">
        <v>13</v>
      </c>
      <c r="D50" s="6" t="s">
        <v>37</v>
      </c>
      <c r="E50" s="6">
        <v>3500</v>
      </c>
    </row>
    <row r="51" spans="1:5">
      <c r="A51" s="10">
        <v>45956</v>
      </c>
      <c r="B51" s="7" t="s">
        <v>36</v>
      </c>
      <c r="C51" s="7" t="s">
        <v>15</v>
      </c>
      <c r="D51" s="7" t="s">
        <v>16</v>
      </c>
      <c r="E51" s="7">
        <v>2800</v>
      </c>
    </row>
    <row r="52" spans="1:5">
      <c r="A52" s="9">
        <v>45966</v>
      </c>
      <c r="B52" s="6" t="s">
        <v>38</v>
      </c>
      <c r="C52" s="6" t="s">
        <v>6</v>
      </c>
      <c r="D52" s="6" t="s">
        <v>7</v>
      </c>
      <c r="E52" s="6">
        <v>12000</v>
      </c>
    </row>
    <row r="53" spans="1:5">
      <c r="A53" s="10">
        <v>45969</v>
      </c>
      <c r="B53" s="7" t="s">
        <v>38</v>
      </c>
      <c r="C53" s="7" t="s">
        <v>8</v>
      </c>
      <c r="D53" s="7" t="s">
        <v>9</v>
      </c>
      <c r="E53" s="7">
        <v>4600</v>
      </c>
    </row>
    <row r="54" spans="1:5">
      <c r="A54" s="9">
        <v>45974</v>
      </c>
      <c r="B54" s="6" t="s">
        <v>38</v>
      </c>
      <c r="C54" s="6" t="s">
        <v>10</v>
      </c>
      <c r="D54" s="6" t="s">
        <v>26</v>
      </c>
      <c r="E54" s="6">
        <v>3000</v>
      </c>
    </row>
    <row r="55" spans="1:5">
      <c r="A55" s="10">
        <v>45980</v>
      </c>
      <c r="B55" s="7" t="s">
        <v>38</v>
      </c>
      <c r="C55" s="7" t="s">
        <v>13</v>
      </c>
      <c r="D55" s="7" t="s">
        <v>14</v>
      </c>
      <c r="E55" s="7">
        <v>2100</v>
      </c>
    </row>
    <row r="56" spans="1:5">
      <c r="A56" s="9">
        <v>45986</v>
      </c>
      <c r="B56" s="6" t="s">
        <v>38</v>
      </c>
      <c r="C56" s="6" t="s">
        <v>15</v>
      </c>
      <c r="D56" s="6" t="s">
        <v>16</v>
      </c>
      <c r="E56" s="6">
        <v>2600</v>
      </c>
    </row>
    <row r="57" spans="1:5">
      <c r="A57" s="10">
        <v>45996</v>
      </c>
      <c r="B57" s="7" t="s">
        <v>39</v>
      </c>
      <c r="C57" s="7" t="s">
        <v>6</v>
      </c>
      <c r="D57" s="7" t="s">
        <v>7</v>
      </c>
      <c r="E57" s="7">
        <v>12000</v>
      </c>
    </row>
    <row r="58" spans="1:5">
      <c r="A58" s="9">
        <v>46000</v>
      </c>
      <c r="B58" s="6" t="s">
        <v>39</v>
      </c>
      <c r="C58" s="6" t="s">
        <v>8</v>
      </c>
      <c r="D58" s="6" t="s">
        <v>9</v>
      </c>
      <c r="E58" s="6">
        <v>5400</v>
      </c>
    </row>
    <row r="59" spans="1:5">
      <c r="A59" s="10">
        <v>46005</v>
      </c>
      <c r="B59" s="7" t="s">
        <v>39</v>
      </c>
      <c r="C59" s="7" t="s">
        <v>10</v>
      </c>
      <c r="D59" s="7" t="s">
        <v>40</v>
      </c>
      <c r="E59" s="7">
        <v>3600</v>
      </c>
    </row>
    <row r="60" spans="1:5">
      <c r="A60" s="9">
        <v>46011</v>
      </c>
      <c r="B60" s="6" t="s">
        <v>39</v>
      </c>
      <c r="C60" s="6" t="s">
        <v>13</v>
      </c>
      <c r="D60" s="6" t="s">
        <v>41</v>
      </c>
      <c r="E60" s="6">
        <v>4000</v>
      </c>
    </row>
    <row r="61" spans="1:5">
      <c r="A61" s="11">
        <v>46017</v>
      </c>
      <c r="B61" s="8" t="s">
        <v>39</v>
      </c>
      <c r="C61" s="8" t="s">
        <v>15</v>
      </c>
      <c r="D61" s="8" t="s">
        <v>16</v>
      </c>
      <c r="E61" s="8">
        <v>3000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5" zoomScaleNormal="75" workbookViewId="0">
      <selection activeCell="J39" sqref="J39"/>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Sheet5</vt:lpstr>
      <vt:lpstr>Sheet2</vt:lpstr>
      <vt:lpstr>Sheet4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KOMARABATTINA</dc:creator>
  <cp:lastModifiedBy>admin</cp:lastModifiedBy>
  <dcterms:created xsi:type="dcterms:W3CDTF">2026-01-20T04:18:20Z</dcterms:created>
  <dcterms:modified xsi:type="dcterms:W3CDTF">2026-01-31T07:14:26Z</dcterms:modified>
</cp:coreProperties>
</file>